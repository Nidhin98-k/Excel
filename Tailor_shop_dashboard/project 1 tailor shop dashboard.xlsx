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f48f765ee7d03db/Desktop/"/>
    </mc:Choice>
  </mc:AlternateContent>
  <xr:revisionPtr revIDLastSave="3833" documentId="8_{A1D515BE-3A48-4981-9409-961C17122460}" xr6:coauthVersionLast="47" xr6:coauthVersionMax="47" xr10:uidLastSave="{0520FB54-07EE-463C-9AB3-2F0960CF0B6E}"/>
  <bookViews>
    <workbookView xWindow="-110" yWindow="-110" windowWidth="19420" windowHeight="11500" activeTab="2" xr2:uid="{E05897CE-11A1-495E-89D5-EEDF6C6E5F47}"/>
  </bookViews>
  <sheets>
    <sheet name="tailor_shop_data" sheetId="1" r:id="rId1"/>
    <sheet name="Pivot tables" sheetId="2" r:id="rId2"/>
    <sheet name="Dashboard" sheetId="5" r:id="rId3"/>
  </sheets>
  <definedNames>
    <definedName name="Slicer_GarmentType">#N/A</definedName>
    <definedName name="Slicer_Material">#N/A</definedName>
    <definedName name="Slicer_Months__Date">#N/A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9" i="2"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C102" i="2"/>
  <c r="C30" i="2"/>
  <c r="C11" i="2"/>
</calcChain>
</file>

<file path=xl/sharedStrings.xml><?xml version="1.0" encoding="utf-8"?>
<sst xmlns="http://schemas.openxmlformats.org/spreadsheetml/2006/main" count="3111" uniqueCount="51">
  <si>
    <t>OrderID</t>
  </si>
  <si>
    <t>Date</t>
  </si>
  <si>
    <t>DueDate</t>
  </si>
  <si>
    <t>GarmentType</t>
  </si>
  <si>
    <t>Material</t>
  </si>
  <si>
    <t>Cost</t>
  </si>
  <si>
    <t>Status</t>
  </si>
  <si>
    <t>Chest</t>
  </si>
  <si>
    <t>Arm Length</t>
  </si>
  <si>
    <t>Shoulder</t>
  </si>
  <si>
    <t>Armscye</t>
  </si>
  <si>
    <t>Neck Size</t>
  </si>
  <si>
    <t>Back Width</t>
  </si>
  <si>
    <t>Waist</t>
  </si>
  <si>
    <t>Front Shoulder to Waist</t>
  </si>
  <si>
    <t>Hip</t>
  </si>
  <si>
    <t>Waist to Knee</t>
  </si>
  <si>
    <t>Crotch Depth</t>
  </si>
  <si>
    <t>Body Rise</t>
  </si>
  <si>
    <t>Waist to Floor</t>
  </si>
  <si>
    <t>Nape to Waist</t>
  </si>
  <si>
    <t>Bust</t>
  </si>
  <si>
    <t>Shirt</t>
  </si>
  <si>
    <t>Linen</t>
  </si>
  <si>
    <t>Cutting</t>
  </si>
  <si>
    <t>Cotton</t>
  </si>
  <si>
    <t>Measuring</t>
  </si>
  <si>
    <t>Jacket</t>
  </si>
  <si>
    <t>Ready to Ship</t>
  </si>
  <si>
    <t>Trousers</t>
  </si>
  <si>
    <t>Leather</t>
  </si>
  <si>
    <t>Awaiting Pickup</t>
  </si>
  <si>
    <t>Wool</t>
  </si>
  <si>
    <t>Suit</t>
  </si>
  <si>
    <t>Sewing</t>
  </si>
  <si>
    <t>Dress</t>
  </si>
  <si>
    <t>Silk</t>
  </si>
  <si>
    <t>Row Labels</t>
  </si>
  <si>
    <t>Grand Total</t>
  </si>
  <si>
    <t>Count of OrderID</t>
  </si>
  <si>
    <t>Sum of Cost</t>
  </si>
  <si>
    <t>Jan</t>
  </si>
  <si>
    <t>Feb</t>
  </si>
  <si>
    <t>Mar</t>
  </si>
  <si>
    <t>Apr</t>
  </si>
  <si>
    <t>Average of Cost</t>
  </si>
  <si>
    <t>AVERAGE COST</t>
  </si>
  <si>
    <t>TAILOR SHOP PERFORMANCE DASHBOARD</t>
  </si>
  <si>
    <t>Processing days</t>
  </si>
  <si>
    <t>Average of Processing days</t>
  </si>
  <si>
    <t>Average processing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</si>
</sst>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quot;₹&quot;\ #,##0"/>
    <numFmt numFmtId="166" formatCode="0.0"/>
    <numFmt numFmtId="167" formatCode="&quot;₹&quot;\ #,##0.0"/>
  </numFmts>
  <fonts count="2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8" tint="-0.499984740745262"/>
      <name val="Calibri"/>
      <family val="2"/>
      <scheme val="minor"/>
    </font>
    <font>
      <b/>
      <sz val="28"/>
      <color theme="4" tint="-0.249977111117893"/>
      <name val="Calibri"/>
      <family val="2"/>
      <scheme val="minor"/>
    </font>
    <font>
      <b/>
      <sz val="48"/>
      <color theme="4" tint="-0.249977111117893"/>
      <name val="Calibri"/>
      <family val="2"/>
      <scheme val="minor"/>
    </font>
    <font>
      <sz val="28"/>
      <color theme="4" tint="-0.249977111117893"/>
      <name val="Calibri"/>
      <family val="2"/>
      <scheme val="minor"/>
    </font>
    <font>
      <b/>
      <sz val="48"/>
      <color theme="8" tint="-0.499984740745262"/>
      <name val="Calibri"/>
      <family val="2"/>
      <scheme val="minor"/>
    </font>
    <font>
      <b/>
      <sz val="80"/>
      <color theme="0" tint="-4.9989318521683403E-2"/>
      <name val="Calibri"/>
      <family val="2"/>
      <scheme val="minor"/>
    </font>
    <font>
      <b/>
      <sz val="48"/>
      <color theme="1"/>
      <name val="Calibri"/>
      <family val="2"/>
      <scheme val="minor"/>
    </font>
    <font>
      <b/>
      <sz val="48"/>
      <color rgb="FF002060"/>
      <name val="Calibri"/>
      <family val="2"/>
      <scheme val="minor"/>
    </font>
    <font>
      <b/>
      <sz val="26"/>
      <color rgb="FF002060"/>
      <name val="Calibri"/>
      <family val="2"/>
      <scheme val="minor"/>
    </font>
    <font>
      <sz val="26"/>
      <color rgb="FF002060"/>
      <name val="Calibri"/>
      <family val="2"/>
      <scheme val="minor"/>
    </font>
    <font>
      <b/>
      <i/>
      <sz val="90"/>
      <color theme="0" tint="-4.9989318521683403E-2"/>
      <name val="Arial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3" borderId="0" xfId="0" applyFont="1" applyFill="1"/>
    <xf numFmtId="0" fontId="19" fillId="33" borderId="0" xfId="0" applyFont="1" applyFill="1" applyAlignment="1">
      <alignment vertical="top"/>
    </xf>
    <xf numFmtId="0" fontId="0" fillId="33" borderId="0" xfId="0" applyFill="1"/>
    <xf numFmtId="0" fontId="18" fillId="33" borderId="0" xfId="0" applyFont="1" applyFill="1" applyAlignment="1">
      <alignment wrapText="1"/>
    </xf>
    <xf numFmtId="0" fontId="23" fillId="33" borderId="0" xfId="0" applyFont="1" applyFill="1"/>
    <xf numFmtId="0" fontId="19" fillId="33" borderId="0" xfId="0" applyFont="1" applyFill="1"/>
    <xf numFmtId="0" fontId="21" fillId="33" borderId="0" xfId="0" applyFont="1" applyFill="1"/>
    <xf numFmtId="0" fontId="20" fillId="33" borderId="0" xfId="0" applyFont="1" applyFill="1" applyAlignment="1">
      <alignment vertical="top"/>
    </xf>
    <xf numFmtId="165" fontId="22" fillId="33" borderId="0" xfId="0" applyNumberFormat="1" applyFont="1" applyFill="1"/>
    <xf numFmtId="164" fontId="22" fillId="33" borderId="0" xfId="0" applyNumberFormat="1" applyFont="1" applyFill="1"/>
    <xf numFmtId="0" fontId="22" fillId="33" borderId="0" xfId="0" applyFont="1" applyFill="1"/>
    <xf numFmtId="3" fontId="0" fillId="0" borderId="0" xfId="0" applyNumberFormat="1"/>
    <xf numFmtId="0" fontId="0" fillId="33" borderId="0" xfId="0" applyFill="1" applyAlignment="1">
      <alignment horizontal="center"/>
    </xf>
    <xf numFmtId="0" fontId="14" fillId="33" borderId="0" xfId="0" applyFont="1" applyFill="1"/>
    <xf numFmtId="166" fontId="0" fillId="0" borderId="0" xfId="0" applyNumberFormat="1"/>
    <xf numFmtId="0" fontId="26" fillId="33" borderId="0" xfId="0" applyFont="1" applyFill="1" applyAlignment="1">
      <alignment vertical="center"/>
    </xf>
    <xf numFmtId="3" fontId="25" fillId="33" borderId="0" xfId="0" applyNumberFormat="1" applyFont="1" applyFill="1" applyAlignment="1">
      <alignment vertical="center"/>
    </xf>
    <xf numFmtId="165" fontId="25" fillId="33" borderId="0" xfId="0" applyNumberFormat="1" applyFont="1" applyFill="1" applyAlignment="1">
      <alignment vertical="center"/>
    </xf>
    <xf numFmtId="164" fontId="25" fillId="33" borderId="0" xfId="0" applyNumberFormat="1" applyFont="1" applyFill="1" applyAlignment="1">
      <alignment vertical="center"/>
    </xf>
    <xf numFmtId="0" fontId="25" fillId="33" borderId="0" xfId="0" applyFont="1" applyFill="1" applyAlignment="1">
      <alignment vertical="center"/>
    </xf>
    <xf numFmtId="0" fontId="24" fillId="33" borderId="0" xfId="0" applyFont="1" applyFill="1" applyAlignment="1">
      <alignment vertical="center"/>
    </xf>
    <xf numFmtId="0" fontId="27" fillId="33" borderId="0" xfId="0" applyFont="1" applyFill="1" applyAlignment="1">
      <alignment vertical="center"/>
    </xf>
    <xf numFmtId="165" fontId="0" fillId="0" borderId="0" xfId="0" applyNumberFormat="1"/>
    <xf numFmtId="0" fontId="0" fillId="35" borderId="0" xfId="0" applyFill="1"/>
    <xf numFmtId="167" fontId="0" fillId="0" borderId="0" xfId="0" applyNumberFormat="1"/>
    <xf numFmtId="1" fontId="0" fillId="0" borderId="0" xfId="0" applyNumberFormat="1"/>
    <xf numFmtId="0" fontId="18" fillId="33" borderId="0" xfId="0" applyFont="1" applyFill="1" applyAlignment="1">
      <alignment horizontal="center"/>
    </xf>
    <xf numFmtId="0" fontId="28" fillId="34"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6" formatCode="0.0"/>
    </dxf>
    <dxf>
      <numFmt numFmtId="1" formatCode="0"/>
    </dxf>
    <dxf>
      <numFmt numFmtId="166" formatCode="0.0"/>
    </dxf>
    <dxf>
      <numFmt numFmtId="1" formatCode="0"/>
    </dxf>
    <dxf>
      <numFmt numFmtId="3" formatCode="#,##0"/>
    </dxf>
    <dxf>
      <numFmt numFmtId="1" formatCode="0"/>
    </dxf>
    <dxf>
      <numFmt numFmtId="166" formatCode="0.0"/>
    </dxf>
    <dxf>
      <numFmt numFmtId="1" formatCode="0"/>
    </dxf>
    <dxf>
      <numFmt numFmtId="19" formatCode="dd/mm/yyyy"/>
    </dxf>
    <dxf>
      <numFmt numFmtId="19" formatCode="dd/mm/yyyy"/>
    </dxf>
    <dxf>
      <font>
        <b/>
        <color theme="1"/>
      </font>
      <fill>
        <patternFill>
          <bgColor theme="4" tint="0.79998168889431442"/>
        </patternFill>
      </fill>
      <border>
        <bottom style="thin">
          <color rgb="FF4F81BD"/>
        </bottom>
        <vertical/>
        <horizontal/>
      </border>
    </dxf>
    <dxf>
      <font>
        <sz val="26"/>
        <color theme="0"/>
      </font>
      <fill>
        <patternFill>
          <bgColor theme="2"/>
        </patternFill>
      </fill>
      <border>
        <left style="thin">
          <color rgb="FF4F81BD"/>
        </left>
        <right style="thin">
          <color rgb="FF4F81BD"/>
        </right>
        <top style="thin">
          <color rgb="FF4F81BD"/>
        </top>
        <bottom style="thin">
          <color rgb="FF4F81BD"/>
        </bottom>
        <vertical/>
        <horizontal/>
      </border>
    </dxf>
  </dxfs>
  <tableStyles count="1" defaultTableStyle="TableStyleMedium2" defaultPivotStyle="PivotStyleLight16">
    <tableStyle name="SlicerStyleOther2 2" pivot="0" table="0" count="10" xr9:uid="{D70A1318-C913-44EC-8CDD-D938F8B2B807}">
      <tableStyleElement type="wholeTable" dxfId="11"/>
      <tableStyleElement type="headerRow" dxfId="10"/>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patternFill patternType="solid">
              <fgColor auto="1"/>
              <bgColor theme="2" tint="-9.9948118533890809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f>
              <c:strCache>
                <c:ptCount val="1"/>
                <c:pt idx="0">
                  <c:v>Total</c:v>
                </c:pt>
              </c:strCache>
            </c:strRef>
          </c:tx>
          <c:spPr>
            <a:solidFill>
              <a:schemeClr val="accent1"/>
            </a:solidFill>
            <a:ln>
              <a:noFill/>
            </a:ln>
            <a:effectLst/>
          </c:spPr>
          <c:invertIfNegative val="0"/>
          <c:cat>
            <c:strRef>
              <c:f>'Pivot tables'!$B$4:$B$9</c:f>
              <c:strCache>
                <c:ptCount val="5"/>
                <c:pt idx="0">
                  <c:v>Jacket</c:v>
                </c:pt>
                <c:pt idx="1">
                  <c:v>Dress</c:v>
                </c:pt>
                <c:pt idx="2">
                  <c:v>Suit</c:v>
                </c:pt>
                <c:pt idx="3">
                  <c:v>Trousers</c:v>
                </c:pt>
                <c:pt idx="4">
                  <c:v>Shirt</c:v>
                </c:pt>
              </c:strCache>
            </c:strRef>
          </c:cat>
          <c:val>
            <c:numRef>
              <c:f>'Pivot tables'!$C$4:$C$9</c:f>
              <c:numCache>
                <c:formatCode>General</c:formatCode>
                <c:ptCount val="5"/>
                <c:pt idx="0">
                  <c:v>227</c:v>
                </c:pt>
                <c:pt idx="1">
                  <c:v>198</c:v>
                </c:pt>
                <c:pt idx="2">
                  <c:v>194</c:v>
                </c:pt>
                <c:pt idx="3">
                  <c:v>193</c:v>
                </c:pt>
                <c:pt idx="4">
                  <c:v>188</c:v>
                </c:pt>
              </c:numCache>
            </c:numRef>
          </c:val>
          <c:extLst>
            <c:ext xmlns:c16="http://schemas.microsoft.com/office/drawing/2014/chart" uri="{C3380CC4-5D6E-409C-BE32-E72D297353CC}">
              <c16:uniqueId val="{00000000-04C4-4E1B-AE99-25E7DACA632F}"/>
            </c:ext>
          </c:extLst>
        </c:ser>
        <c:dLbls>
          <c:showLegendKey val="0"/>
          <c:showVal val="0"/>
          <c:showCatName val="0"/>
          <c:showSerName val="0"/>
          <c:showPercent val="0"/>
          <c:showBubbleSize val="0"/>
        </c:dLbls>
        <c:gapWidth val="219"/>
        <c:overlap val="-27"/>
        <c:axId val="927880720"/>
        <c:axId val="1027551888"/>
      </c:barChart>
      <c:catAx>
        <c:axId val="92788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51888"/>
        <c:crosses val="autoZero"/>
        <c:auto val="1"/>
        <c:lblAlgn val="ctr"/>
        <c:lblOffset val="100"/>
        <c:noMultiLvlLbl val="0"/>
      </c:catAx>
      <c:valAx>
        <c:axId val="102755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8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tables'!$C$22</c:f>
              <c:strCache>
                <c:ptCount val="1"/>
                <c:pt idx="0">
                  <c:v>Total</c:v>
                </c:pt>
              </c:strCache>
            </c:strRef>
          </c:tx>
          <c:spPr>
            <a:solidFill>
              <a:schemeClr val="accent1"/>
            </a:solidFill>
            <a:ln>
              <a:noFill/>
            </a:ln>
            <a:effectLst/>
          </c:spPr>
          <c:invertIfNegative val="0"/>
          <c:cat>
            <c:strRef>
              <c:f>'Pivot tables'!$B$23:$B$28</c:f>
              <c:strCache>
                <c:ptCount val="5"/>
                <c:pt idx="0">
                  <c:v>Jacket</c:v>
                </c:pt>
                <c:pt idx="1">
                  <c:v>Dress</c:v>
                </c:pt>
                <c:pt idx="2">
                  <c:v>Suit</c:v>
                </c:pt>
                <c:pt idx="3">
                  <c:v>Trousers</c:v>
                </c:pt>
                <c:pt idx="4">
                  <c:v>Shirt</c:v>
                </c:pt>
              </c:strCache>
            </c:strRef>
          </c:cat>
          <c:val>
            <c:numRef>
              <c:f>'Pivot tables'!$C$23:$C$28</c:f>
              <c:numCache>
                <c:formatCode>"₹"\ #,##0</c:formatCode>
                <c:ptCount val="5"/>
                <c:pt idx="0">
                  <c:v>61943</c:v>
                </c:pt>
                <c:pt idx="1">
                  <c:v>53361</c:v>
                </c:pt>
                <c:pt idx="2">
                  <c:v>52603</c:v>
                </c:pt>
                <c:pt idx="3">
                  <c:v>52259</c:v>
                </c:pt>
                <c:pt idx="4">
                  <c:v>49437</c:v>
                </c:pt>
              </c:numCache>
            </c:numRef>
          </c:val>
          <c:extLst>
            <c:ext xmlns:c16="http://schemas.microsoft.com/office/drawing/2014/chart" uri="{C3380CC4-5D6E-409C-BE32-E72D297353CC}">
              <c16:uniqueId val="{00000000-E828-49A0-B309-EC30B936CDBF}"/>
            </c:ext>
          </c:extLst>
        </c:ser>
        <c:dLbls>
          <c:showLegendKey val="0"/>
          <c:showVal val="0"/>
          <c:showCatName val="0"/>
          <c:showSerName val="0"/>
          <c:showPercent val="0"/>
          <c:showBubbleSize val="0"/>
        </c:dLbls>
        <c:gapWidth val="219"/>
        <c:overlap val="-27"/>
        <c:axId val="1036728928"/>
        <c:axId val="1077104560"/>
      </c:barChart>
      <c:catAx>
        <c:axId val="103672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104560"/>
        <c:crosses val="autoZero"/>
        <c:auto val="1"/>
        <c:lblAlgn val="ctr"/>
        <c:lblOffset val="100"/>
        <c:noMultiLvlLbl val="0"/>
      </c:catAx>
      <c:valAx>
        <c:axId val="1077104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72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'Pivot tables'!$C$38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85C-40FF-8E50-5E95106E8823}"/>
              </c:ext>
            </c:extLst>
          </c:dPt>
          <c:dPt>
            <c:idx val="1"/>
            <c:bubble3D val="0"/>
            <c:spPr>
              <a:solidFill>
                <a:schemeClr val="accent2"/>
              </a:solidFill>
              <a:ln>
                <a:noFill/>
              </a:ln>
              <a:effectLst/>
            </c:spPr>
            <c:extLst>
              <c:ext xmlns:c16="http://schemas.microsoft.com/office/drawing/2014/chart" uri="{C3380CC4-5D6E-409C-BE32-E72D297353CC}">
                <c16:uniqueId val="{00000003-985C-40FF-8E50-5E95106E8823}"/>
              </c:ext>
            </c:extLst>
          </c:dPt>
          <c:dPt>
            <c:idx val="2"/>
            <c:bubble3D val="0"/>
            <c:spPr>
              <a:solidFill>
                <a:schemeClr val="accent3"/>
              </a:solidFill>
              <a:ln>
                <a:noFill/>
              </a:ln>
              <a:effectLst/>
            </c:spPr>
            <c:extLst>
              <c:ext xmlns:c16="http://schemas.microsoft.com/office/drawing/2014/chart" uri="{C3380CC4-5D6E-409C-BE32-E72D297353CC}">
                <c16:uniqueId val="{00000005-985C-40FF-8E50-5E95106E8823}"/>
              </c:ext>
            </c:extLst>
          </c:dPt>
          <c:dPt>
            <c:idx val="3"/>
            <c:bubble3D val="0"/>
            <c:spPr>
              <a:solidFill>
                <a:schemeClr val="accent4"/>
              </a:solidFill>
              <a:ln>
                <a:noFill/>
              </a:ln>
              <a:effectLst/>
            </c:spPr>
            <c:extLst>
              <c:ext xmlns:c16="http://schemas.microsoft.com/office/drawing/2014/chart" uri="{C3380CC4-5D6E-409C-BE32-E72D297353CC}">
                <c16:uniqueId val="{00000007-985C-40FF-8E50-5E95106E8823}"/>
              </c:ext>
            </c:extLst>
          </c:dPt>
          <c:dPt>
            <c:idx val="4"/>
            <c:bubble3D val="0"/>
            <c:spPr>
              <a:solidFill>
                <a:schemeClr val="accent5"/>
              </a:solidFill>
              <a:ln>
                <a:noFill/>
              </a:ln>
              <a:effectLst/>
            </c:spPr>
            <c:extLst>
              <c:ext xmlns:c16="http://schemas.microsoft.com/office/drawing/2014/chart" uri="{C3380CC4-5D6E-409C-BE32-E72D297353CC}">
                <c16:uniqueId val="{00000009-985C-40FF-8E50-5E95106E88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tables'!$B$39:$B$44</c:f>
              <c:strCache>
                <c:ptCount val="5"/>
                <c:pt idx="0">
                  <c:v>Awaiting Pickup</c:v>
                </c:pt>
                <c:pt idx="1">
                  <c:v>Cutting</c:v>
                </c:pt>
                <c:pt idx="2">
                  <c:v>Measuring</c:v>
                </c:pt>
                <c:pt idx="3">
                  <c:v>Ready to Ship</c:v>
                </c:pt>
                <c:pt idx="4">
                  <c:v>Sewing</c:v>
                </c:pt>
              </c:strCache>
            </c:strRef>
          </c:cat>
          <c:val>
            <c:numRef>
              <c:f>'Pivot tables'!$C$39:$C$44</c:f>
              <c:numCache>
                <c:formatCode>General</c:formatCode>
                <c:ptCount val="5"/>
                <c:pt idx="0">
                  <c:v>202</c:v>
                </c:pt>
                <c:pt idx="1">
                  <c:v>207</c:v>
                </c:pt>
                <c:pt idx="2">
                  <c:v>200</c:v>
                </c:pt>
                <c:pt idx="3">
                  <c:v>198</c:v>
                </c:pt>
                <c:pt idx="4">
                  <c:v>193</c:v>
                </c:pt>
              </c:numCache>
            </c:numRef>
          </c:val>
          <c:extLst>
            <c:ext xmlns:c16="http://schemas.microsoft.com/office/drawing/2014/chart" uri="{C3380CC4-5D6E-409C-BE32-E72D297353CC}">
              <c16:uniqueId val="{0000000A-6101-4499-85F0-6DAA72AD33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tables'!$C$57</c:f>
              <c:strCache>
                <c:ptCount val="1"/>
                <c:pt idx="0">
                  <c:v>Total</c:v>
                </c:pt>
              </c:strCache>
            </c:strRef>
          </c:tx>
          <c:spPr>
            <a:solidFill>
              <a:schemeClr val="accent1"/>
            </a:solidFill>
            <a:ln>
              <a:noFill/>
            </a:ln>
            <a:effectLst/>
          </c:spPr>
          <c:invertIfNegative val="0"/>
          <c:cat>
            <c:strRef>
              <c:f>'Pivot tables'!$B$58:$B$62</c:f>
              <c:strCache>
                <c:ptCount val="4"/>
                <c:pt idx="0">
                  <c:v>Jan</c:v>
                </c:pt>
                <c:pt idx="1">
                  <c:v>Feb</c:v>
                </c:pt>
                <c:pt idx="2">
                  <c:v>Mar</c:v>
                </c:pt>
                <c:pt idx="3">
                  <c:v>Apr</c:v>
                </c:pt>
              </c:strCache>
            </c:strRef>
          </c:cat>
          <c:val>
            <c:numRef>
              <c:f>'Pivot tables'!$C$58:$C$62</c:f>
              <c:numCache>
                <c:formatCode>General</c:formatCode>
                <c:ptCount val="4"/>
                <c:pt idx="0">
                  <c:v>68643</c:v>
                </c:pt>
                <c:pt idx="1">
                  <c:v>71801</c:v>
                </c:pt>
                <c:pt idx="2">
                  <c:v>64315</c:v>
                </c:pt>
                <c:pt idx="3">
                  <c:v>64844</c:v>
                </c:pt>
              </c:numCache>
            </c:numRef>
          </c:val>
          <c:extLst>
            <c:ext xmlns:c16="http://schemas.microsoft.com/office/drawing/2014/chart" uri="{C3380CC4-5D6E-409C-BE32-E72D297353CC}">
              <c16:uniqueId val="{00000000-083B-4EF1-8417-FFA7DE0F776C}"/>
            </c:ext>
          </c:extLst>
        </c:ser>
        <c:dLbls>
          <c:showLegendKey val="0"/>
          <c:showVal val="0"/>
          <c:showCatName val="0"/>
          <c:showSerName val="0"/>
          <c:showPercent val="0"/>
          <c:showBubbleSize val="0"/>
        </c:dLbls>
        <c:gapWidth val="219"/>
        <c:overlap val="-27"/>
        <c:axId val="1086297808"/>
        <c:axId val="1077109360"/>
      </c:barChart>
      <c:catAx>
        <c:axId val="108629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109360"/>
        <c:crosses val="autoZero"/>
        <c:auto val="1"/>
        <c:lblAlgn val="ctr"/>
        <c:lblOffset val="100"/>
        <c:noMultiLvlLbl val="0"/>
      </c:catAx>
      <c:valAx>
        <c:axId val="107710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29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tables'!$C$77</c:f>
              <c:strCache>
                <c:ptCount val="1"/>
                <c:pt idx="0">
                  <c:v>Total</c:v>
                </c:pt>
              </c:strCache>
            </c:strRef>
          </c:tx>
          <c:spPr>
            <a:solidFill>
              <a:schemeClr val="accent1"/>
            </a:solidFill>
            <a:ln>
              <a:noFill/>
            </a:ln>
            <a:effectLst/>
          </c:spPr>
          <c:invertIfNegative val="0"/>
          <c:cat>
            <c:strRef>
              <c:f>'Pivot tables'!$B$78:$B$83</c:f>
              <c:strCache>
                <c:ptCount val="5"/>
                <c:pt idx="0">
                  <c:v>Cotton</c:v>
                </c:pt>
                <c:pt idx="1">
                  <c:v>Leather</c:v>
                </c:pt>
                <c:pt idx="2">
                  <c:v>Linen</c:v>
                </c:pt>
                <c:pt idx="3">
                  <c:v>Silk</c:v>
                </c:pt>
                <c:pt idx="4">
                  <c:v>Wool</c:v>
                </c:pt>
              </c:strCache>
            </c:strRef>
          </c:cat>
          <c:val>
            <c:numRef>
              <c:f>'Pivot tables'!$C$78:$C$83</c:f>
              <c:numCache>
                <c:formatCode>General</c:formatCode>
                <c:ptCount val="5"/>
                <c:pt idx="0">
                  <c:v>193</c:v>
                </c:pt>
                <c:pt idx="1">
                  <c:v>176</c:v>
                </c:pt>
                <c:pt idx="2">
                  <c:v>199</c:v>
                </c:pt>
                <c:pt idx="3">
                  <c:v>207</c:v>
                </c:pt>
                <c:pt idx="4">
                  <c:v>225</c:v>
                </c:pt>
              </c:numCache>
            </c:numRef>
          </c:val>
          <c:extLst>
            <c:ext xmlns:c16="http://schemas.microsoft.com/office/drawing/2014/chart" uri="{C3380CC4-5D6E-409C-BE32-E72D297353CC}">
              <c16:uniqueId val="{00000000-55F7-4B43-93FB-58047E55F47D}"/>
            </c:ext>
          </c:extLst>
        </c:ser>
        <c:dLbls>
          <c:showLegendKey val="0"/>
          <c:showVal val="0"/>
          <c:showCatName val="0"/>
          <c:showSerName val="0"/>
          <c:showPercent val="0"/>
          <c:showBubbleSize val="0"/>
        </c:dLbls>
        <c:gapWidth val="219"/>
        <c:overlap val="-27"/>
        <c:axId val="1435803344"/>
        <c:axId val="1077138160"/>
      </c:barChart>
      <c:catAx>
        <c:axId val="143580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138160"/>
        <c:crosses val="autoZero"/>
        <c:auto val="1"/>
        <c:lblAlgn val="ctr"/>
        <c:lblOffset val="100"/>
        <c:noMultiLvlLbl val="0"/>
      </c:catAx>
      <c:valAx>
        <c:axId val="107713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80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tables'!$C$94</c:f>
              <c:strCache>
                <c:ptCount val="1"/>
                <c:pt idx="0">
                  <c:v>Total</c:v>
                </c:pt>
              </c:strCache>
            </c:strRef>
          </c:tx>
          <c:spPr>
            <a:ln w="28575" cap="rnd">
              <a:solidFill>
                <a:schemeClr val="accent1"/>
              </a:solidFill>
              <a:round/>
            </a:ln>
            <a:effectLst/>
          </c:spPr>
          <c:marker>
            <c:symbol val="none"/>
          </c:marker>
          <c:cat>
            <c:strRef>
              <c:f>'Pivot tables'!$B$95:$B$100</c:f>
              <c:strCache>
                <c:ptCount val="5"/>
                <c:pt idx="0">
                  <c:v>Dress</c:v>
                </c:pt>
                <c:pt idx="1">
                  <c:v>Jacket</c:v>
                </c:pt>
                <c:pt idx="2">
                  <c:v>Shirt</c:v>
                </c:pt>
                <c:pt idx="3">
                  <c:v>Suit</c:v>
                </c:pt>
                <c:pt idx="4">
                  <c:v>Trousers</c:v>
                </c:pt>
              </c:strCache>
            </c:strRef>
          </c:cat>
          <c:val>
            <c:numRef>
              <c:f>'Pivot tables'!$C$95:$C$100</c:f>
              <c:numCache>
                <c:formatCode>0.0</c:formatCode>
                <c:ptCount val="5"/>
                <c:pt idx="0">
                  <c:v>269.5</c:v>
                </c:pt>
                <c:pt idx="1">
                  <c:v>272.87665198237886</c:v>
                </c:pt>
                <c:pt idx="2">
                  <c:v>262.96276595744683</c:v>
                </c:pt>
                <c:pt idx="3">
                  <c:v>271.14948453608247</c:v>
                </c:pt>
                <c:pt idx="4">
                  <c:v>270.77202072538859</c:v>
                </c:pt>
              </c:numCache>
            </c:numRef>
          </c:val>
          <c:smooth val="0"/>
          <c:extLst>
            <c:ext xmlns:c16="http://schemas.microsoft.com/office/drawing/2014/chart" uri="{C3380CC4-5D6E-409C-BE32-E72D297353CC}">
              <c16:uniqueId val="{00000000-7A74-472C-BE48-E3FDBC3BC862}"/>
            </c:ext>
          </c:extLst>
        </c:ser>
        <c:dLbls>
          <c:showLegendKey val="0"/>
          <c:showVal val="0"/>
          <c:showCatName val="0"/>
          <c:showSerName val="0"/>
          <c:showPercent val="0"/>
          <c:showBubbleSize val="0"/>
        </c:dLbls>
        <c:smooth val="0"/>
        <c:axId val="1520233120"/>
        <c:axId val="1077040240"/>
      </c:lineChart>
      <c:catAx>
        <c:axId val="152023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040240"/>
        <c:crosses val="autoZero"/>
        <c:auto val="1"/>
        <c:lblAlgn val="ctr"/>
        <c:lblOffset val="100"/>
        <c:noMultiLvlLbl val="0"/>
      </c:catAx>
      <c:valAx>
        <c:axId val="10770402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520233120"/>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tables'!$C$111</c:f>
              <c:strCache>
                <c:ptCount val="1"/>
                <c:pt idx="0">
                  <c:v>Total</c:v>
                </c:pt>
              </c:strCache>
            </c:strRef>
          </c:tx>
          <c:spPr>
            <a:solidFill>
              <a:schemeClr val="accent1"/>
            </a:solidFill>
            <a:ln>
              <a:noFill/>
            </a:ln>
            <a:effectLst/>
          </c:spPr>
          <c:invertIfNegative val="0"/>
          <c:cat>
            <c:strRef>
              <c:f>'Pivot tables'!$B$112:$B$116</c:f>
              <c:strCache>
                <c:ptCount val="4"/>
                <c:pt idx="0">
                  <c:v>Jan</c:v>
                </c:pt>
                <c:pt idx="1">
                  <c:v>Feb</c:v>
                </c:pt>
                <c:pt idx="2">
                  <c:v>Mar</c:v>
                </c:pt>
                <c:pt idx="3">
                  <c:v>Apr</c:v>
                </c:pt>
              </c:strCache>
            </c:strRef>
          </c:cat>
          <c:val>
            <c:numRef>
              <c:f>'Pivot tables'!$C$112:$C$116</c:f>
              <c:numCache>
                <c:formatCode>General</c:formatCode>
                <c:ptCount val="4"/>
                <c:pt idx="0">
                  <c:v>258</c:v>
                </c:pt>
                <c:pt idx="1">
                  <c:v>263</c:v>
                </c:pt>
                <c:pt idx="2">
                  <c:v>244</c:v>
                </c:pt>
                <c:pt idx="3">
                  <c:v>235</c:v>
                </c:pt>
              </c:numCache>
            </c:numRef>
          </c:val>
          <c:extLst>
            <c:ext xmlns:c16="http://schemas.microsoft.com/office/drawing/2014/chart" uri="{C3380CC4-5D6E-409C-BE32-E72D297353CC}">
              <c16:uniqueId val="{00000000-FC62-48C4-BA85-093F8DF44FE9}"/>
            </c:ext>
          </c:extLst>
        </c:ser>
        <c:dLbls>
          <c:showLegendKey val="0"/>
          <c:showVal val="0"/>
          <c:showCatName val="0"/>
          <c:showSerName val="0"/>
          <c:showPercent val="0"/>
          <c:showBubbleSize val="0"/>
        </c:dLbls>
        <c:gapWidth val="219"/>
        <c:overlap val="-27"/>
        <c:axId val="174309712"/>
        <c:axId val="1814497967"/>
      </c:barChart>
      <c:catAx>
        <c:axId val="17430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497967"/>
        <c:crosses val="autoZero"/>
        <c:auto val="1"/>
        <c:lblAlgn val="ctr"/>
        <c:lblOffset val="100"/>
        <c:noMultiLvlLbl val="0"/>
      </c:catAx>
      <c:valAx>
        <c:axId val="181449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tables!PivotTable8</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tables'!$C$130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tables'!$B$131:$B$136</c:f>
              <c:strCache>
                <c:ptCount val="5"/>
                <c:pt idx="0">
                  <c:v>Wool</c:v>
                </c:pt>
                <c:pt idx="1">
                  <c:v>Silk</c:v>
                </c:pt>
                <c:pt idx="2">
                  <c:v>Linen</c:v>
                </c:pt>
                <c:pt idx="3">
                  <c:v>Cotton</c:v>
                </c:pt>
                <c:pt idx="4">
                  <c:v>Leather</c:v>
                </c:pt>
              </c:strCache>
            </c:strRef>
          </c:cat>
          <c:val>
            <c:numRef>
              <c:f>'Pivot tables'!$C$131:$C$136</c:f>
              <c:numCache>
                <c:formatCode>General</c:formatCode>
                <c:ptCount val="5"/>
                <c:pt idx="0">
                  <c:v>225</c:v>
                </c:pt>
                <c:pt idx="1">
                  <c:v>207</c:v>
                </c:pt>
                <c:pt idx="2">
                  <c:v>199</c:v>
                </c:pt>
                <c:pt idx="3">
                  <c:v>193</c:v>
                </c:pt>
                <c:pt idx="4">
                  <c:v>176</c:v>
                </c:pt>
              </c:numCache>
            </c:numRef>
          </c:val>
          <c:extLst>
            <c:ext xmlns:c16="http://schemas.microsoft.com/office/drawing/2014/chart" uri="{C3380CC4-5D6E-409C-BE32-E72D297353CC}">
              <c16:uniqueId val="{00000000-7A45-4CAC-BC07-4D8FE38E6A12}"/>
            </c:ext>
          </c:extLst>
        </c:ser>
        <c:dLbls>
          <c:dLblPos val="inEnd"/>
          <c:showLegendKey val="0"/>
          <c:showVal val="1"/>
          <c:showCatName val="0"/>
          <c:showSerName val="0"/>
          <c:showPercent val="0"/>
          <c:showBubbleSize val="0"/>
        </c:dLbls>
        <c:gapWidth val="41"/>
        <c:axId val="6979552"/>
        <c:axId val="828921327"/>
      </c:barChart>
      <c:catAx>
        <c:axId val="697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28921327"/>
        <c:crosses val="autoZero"/>
        <c:auto val="1"/>
        <c:lblAlgn val="ctr"/>
        <c:lblOffset val="100"/>
        <c:noMultiLvlLbl val="0"/>
      </c:catAx>
      <c:valAx>
        <c:axId val="828921327"/>
        <c:scaling>
          <c:orientation val="minMax"/>
        </c:scaling>
        <c:delete val="1"/>
        <c:axPos val="l"/>
        <c:numFmt formatCode="General" sourceLinked="1"/>
        <c:majorTickMark val="none"/>
        <c:minorTickMark val="none"/>
        <c:tickLblPos val="nextTo"/>
        <c:crossAx val="697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tables'!$C$146</c:f>
              <c:strCache>
                <c:ptCount val="1"/>
                <c:pt idx="0">
                  <c:v>Total</c:v>
                </c:pt>
              </c:strCache>
            </c:strRef>
          </c:tx>
          <c:spPr>
            <a:solidFill>
              <a:schemeClr val="accent1"/>
            </a:solidFill>
            <a:ln>
              <a:noFill/>
            </a:ln>
            <a:effectLst/>
          </c:spPr>
          <c:invertIfNegative val="0"/>
          <c:cat>
            <c:strRef>
              <c:f>'Pivot tables'!$C$147</c:f>
              <c:strCache>
                <c:ptCount val="1"/>
                <c:pt idx="0">
                  <c:v>Total</c:v>
                </c:pt>
              </c:strCache>
            </c:strRef>
          </c:cat>
          <c:val>
            <c:numRef>
              <c:f>'Pivot tables'!$C$147</c:f>
              <c:numCache>
                <c:formatCode>0</c:formatCode>
                <c:ptCount val="1"/>
                <c:pt idx="0">
                  <c:v>75.006</c:v>
                </c:pt>
              </c:numCache>
            </c:numRef>
          </c:val>
          <c:extLst>
            <c:ext xmlns:c16="http://schemas.microsoft.com/office/drawing/2014/chart" uri="{C3380CC4-5D6E-409C-BE32-E72D297353CC}">
              <c16:uniqueId val="{00000000-C724-4247-9A09-6B90B75B6671}"/>
            </c:ext>
          </c:extLst>
        </c:ser>
        <c:dLbls>
          <c:showLegendKey val="0"/>
          <c:showVal val="0"/>
          <c:showCatName val="0"/>
          <c:showSerName val="0"/>
          <c:showPercent val="0"/>
          <c:showBubbleSize val="0"/>
        </c:dLbls>
        <c:gapWidth val="219"/>
        <c:overlap val="-27"/>
        <c:axId val="768573007"/>
        <c:axId val="1142728464"/>
      </c:barChart>
      <c:catAx>
        <c:axId val="76857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728464"/>
        <c:crosses val="autoZero"/>
        <c:auto val="1"/>
        <c:lblAlgn val="ctr"/>
        <c:lblOffset val="100"/>
        <c:noMultiLvlLbl val="0"/>
      </c:catAx>
      <c:valAx>
        <c:axId val="1142728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57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tables!PivotTable13</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rgbClr val="002060"/>
                </a:solidFill>
              </a:rPr>
              <a:t>AVERAGE COST BY MATERIAL</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tables'!$D$162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tables'!$C$163:$C$168</c:f>
              <c:strCache>
                <c:ptCount val="5"/>
                <c:pt idx="0">
                  <c:v>Cotton</c:v>
                </c:pt>
                <c:pt idx="1">
                  <c:v>Leather</c:v>
                </c:pt>
                <c:pt idx="2">
                  <c:v>Linen</c:v>
                </c:pt>
                <c:pt idx="3">
                  <c:v>Silk</c:v>
                </c:pt>
                <c:pt idx="4">
                  <c:v>Wool</c:v>
                </c:pt>
              </c:strCache>
            </c:strRef>
          </c:cat>
          <c:val>
            <c:numRef>
              <c:f>'Pivot tables'!$D$163:$D$168</c:f>
              <c:numCache>
                <c:formatCode>0</c:formatCode>
                <c:ptCount val="5"/>
                <c:pt idx="0">
                  <c:v>261.66839378238342</c:v>
                </c:pt>
                <c:pt idx="1">
                  <c:v>261.05113636363637</c:v>
                </c:pt>
                <c:pt idx="2">
                  <c:v>274.8291457286432</c:v>
                </c:pt>
                <c:pt idx="3">
                  <c:v>282.41062801932367</c:v>
                </c:pt>
                <c:pt idx="4">
                  <c:v>266.69333333333333</c:v>
                </c:pt>
              </c:numCache>
            </c:numRef>
          </c:val>
          <c:extLst>
            <c:ext xmlns:c16="http://schemas.microsoft.com/office/drawing/2014/chart" uri="{C3380CC4-5D6E-409C-BE32-E72D297353CC}">
              <c16:uniqueId val="{00000000-A2E9-41C5-807F-185D4207D68C}"/>
            </c:ext>
          </c:extLst>
        </c:ser>
        <c:dLbls>
          <c:dLblPos val="inEnd"/>
          <c:showLegendKey val="0"/>
          <c:showVal val="1"/>
          <c:showCatName val="0"/>
          <c:showSerName val="0"/>
          <c:showPercent val="0"/>
          <c:showBubbleSize val="0"/>
        </c:dLbls>
        <c:gapWidth val="41"/>
        <c:axId val="732681375"/>
        <c:axId val="1215455472"/>
      </c:barChart>
      <c:catAx>
        <c:axId val="732681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dk1">
                    <a:lumMod val="65000"/>
                    <a:lumOff val="35000"/>
                  </a:schemeClr>
                </a:solidFill>
                <a:effectLst/>
                <a:latin typeface="+mn-lt"/>
                <a:ea typeface="+mn-ea"/>
                <a:cs typeface="+mn-cs"/>
              </a:defRPr>
            </a:pPr>
            <a:endParaRPr lang="en-US"/>
          </a:p>
        </c:txPr>
        <c:crossAx val="1215455472"/>
        <c:crosses val="autoZero"/>
        <c:auto val="1"/>
        <c:lblAlgn val="ctr"/>
        <c:lblOffset val="100"/>
        <c:noMultiLvlLbl val="0"/>
      </c:catAx>
      <c:valAx>
        <c:axId val="1215455472"/>
        <c:scaling>
          <c:orientation val="minMax"/>
        </c:scaling>
        <c:delete val="1"/>
        <c:axPos val="l"/>
        <c:numFmt formatCode="0" sourceLinked="1"/>
        <c:majorTickMark val="none"/>
        <c:minorTickMark val="none"/>
        <c:tickLblPos val="nextTo"/>
        <c:crossAx val="73268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tables!PivotTable14</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rgbClr val="002060"/>
                </a:solidFill>
              </a:rPr>
              <a:t>AVERAGE</a:t>
            </a:r>
            <a:r>
              <a:rPr lang="en-US" b="1" baseline="0">
                <a:solidFill>
                  <a:srgbClr val="002060"/>
                </a:solidFill>
              </a:rPr>
              <a:t> PROCESSING DAYS BY GARMENT TYPE</a:t>
            </a:r>
            <a:endParaRPr lang="en-US" b="1">
              <a:solidFill>
                <a:srgbClr val="002060"/>
              </a:solidFill>
            </a:endParaRPr>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tables'!$D$179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tables'!$C$180:$C$185</c:f>
              <c:strCache>
                <c:ptCount val="5"/>
                <c:pt idx="0">
                  <c:v>Dress</c:v>
                </c:pt>
                <c:pt idx="1">
                  <c:v>Jacket</c:v>
                </c:pt>
                <c:pt idx="2">
                  <c:v>Shirt</c:v>
                </c:pt>
                <c:pt idx="3">
                  <c:v>Suit</c:v>
                </c:pt>
                <c:pt idx="4">
                  <c:v>Trousers</c:v>
                </c:pt>
              </c:strCache>
            </c:strRef>
          </c:cat>
          <c:val>
            <c:numRef>
              <c:f>'Pivot tables'!$D$180:$D$185</c:f>
              <c:numCache>
                <c:formatCode>0</c:formatCode>
                <c:ptCount val="5"/>
                <c:pt idx="0">
                  <c:v>74.984848484848484</c:v>
                </c:pt>
                <c:pt idx="1">
                  <c:v>74.502202643171813</c:v>
                </c:pt>
                <c:pt idx="2">
                  <c:v>75.547872340425528</c:v>
                </c:pt>
                <c:pt idx="3">
                  <c:v>74.340206185567013</c:v>
                </c:pt>
                <c:pt idx="4">
                  <c:v>75.761658031088089</c:v>
                </c:pt>
              </c:numCache>
            </c:numRef>
          </c:val>
          <c:extLst>
            <c:ext xmlns:c16="http://schemas.microsoft.com/office/drawing/2014/chart" uri="{C3380CC4-5D6E-409C-BE32-E72D297353CC}">
              <c16:uniqueId val="{00000000-59DE-446A-99B2-C49BC8CEE002}"/>
            </c:ext>
          </c:extLst>
        </c:ser>
        <c:dLbls>
          <c:dLblPos val="inEnd"/>
          <c:showLegendKey val="0"/>
          <c:showVal val="1"/>
          <c:showCatName val="0"/>
          <c:showSerName val="0"/>
          <c:showPercent val="0"/>
          <c:showBubbleSize val="0"/>
        </c:dLbls>
        <c:gapWidth val="41"/>
        <c:axId val="768451903"/>
        <c:axId val="630948143"/>
      </c:barChart>
      <c:catAx>
        <c:axId val="76845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effectLst/>
                <a:latin typeface="+mn-lt"/>
                <a:ea typeface="+mn-ea"/>
                <a:cs typeface="+mn-cs"/>
              </a:defRPr>
            </a:pPr>
            <a:endParaRPr lang="en-US"/>
          </a:p>
        </c:txPr>
        <c:crossAx val="630948143"/>
        <c:crosses val="autoZero"/>
        <c:auto val="1"/>
        <c:lblAlgn val="ctr"/>
        <c:lblOffset val="100"/>
        <c:noMultiLvlLbl val="0"/>
      </c:catAx>
      <c:valAx>
        <c:axId val="630948143"/>
        <c:scaling>
          <c:orientation val="minMax"/>
        </c:scaling>
        <c:delete val="1"/>
        <c:axPos val="l"/>
        <c:numFmt formatCode="0" sourceLinked="1"/>
        <c:majorTickMark val="none"/>
        <c:minorTickMark val="none"/>
        <c:tickLblPos val="nextTo"/>
        <c:crossAx val="76845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[tailor_shop_dashboard.xlsx]Pivot tables!PivotTable1</c:name>
    <c:fmtId val="42"/>
  </c:pivotSource>
  <c:chart>
    <c:title>
      <c:tx>
        <c:rich>
          <a:bodyPr rot="0" spcFirstLastPara="1" vertOverflow="ellipsis" vert="horz" wrap="square" anchor="ctr" anchorCtr="1"/>
          <a:lstStyle/>
          <a:p>
            <a:pPr algn="ctr">
              <a:defRPr b="0" i="0" u="none" strike="noStrike" kern="1200" baseline="0">
                <a:solidFill>
                  <a:srgbClr val="002060"/>
                </a:solidFill>
                <a:effectLst/>
                <a:latin typeface="+mn-lt"/>
                <a:ea typeface="+mn-ea"/>
                <a:cs typeface="+mn-cs"/>
              </a:defRPr>
            </a:pPr>
            <a:r>
              <a:rPr lang="en-US" sz="3600" b="1">
                <a:solidFill>
                  <a:srgbClr val="002060"/>
                </a:solidFill>
              </a:rPr>
              <a:t>ORDERS BY GARMENT TYPE</a:t>
            </a:r>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txPr>
        <a:bodyPr rot="0" spcFirstLastPara="1" vertOverflow="ellipsis" vert="horz" wrap="square" anchor="ctr" anchorCtr="1"/>
        <a:lstStyle/>
        <a:p>
          <a:pPr algn="ctr">
            <a:defRPr b="0" i="0" u="none" strike="noStrike" kern="1200" baseline="0">
              <a:solidFill>
                <a:srgbClr val="002060"/>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f>
              <c:strCache>
                <c:ptCount val="1"/>
                <c:pt idx="0">
                  <c:v>Total</c:v>
                </c:pt>
              </c:strCache>
            </c:strRef>
          </c:tx>
          <c:spPr>
            <a:solidFill>
              <a:schemeClr val="accent1"/>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tables'!$B$4:$B$9</c:f>
              <c:strCache>
                <c:ptCount val="5"/>
                <c:pt idx="0">
                  <c:v>Jacket</c:v>
                </c:pt>
                <c:pt idx="1">
                  <c:v>Dress</c:v>
                </c:pt>
                <c:pt idx="2">
                  <c:v>Suit</c:v>
                </c:pt>
                <c:pt idx="3">
                  <c:v>Trousers</c:v>
                </c:pt>
                <c:pt idx="4">
                  <c:v>Shirt</c:v>
                </c:pt>
              </c:strCache>
            </c:strRef>
          </c:cat>
          <c:val>
            <c:numRef>
              <c:f>'Pivot tables'!$C$4:$C$9</c:f>
              <c:numCache>
                <c:formatCode>General</c:formatCode>
                <c:ptCount val="5"/>
                <c:pt idx="0">
                  <c:v>227</c:v>
                </c:pt>
                <c:pt idx="1">
                  <c:v>198</c:v>
                </c:pt>
                <c:pt idx="2">
                  <c:v>194</c:v>
                </c:pt>
                <c:pt idx="3">
                  <c:v>193</c:v>
                </c:pt>
                <c:pt idx="4">
                  <c:v>188</c:v>
                </c:pt>
              </c:numCache>
            </c:numRef>
          </c:val>
          <c:extLst>
            <c:ext xmlns:c16="http://schemas.microsoft.com/office/drawing/2014/chart" uri="{C3380CC4-5D6E-409C-BE32-E72D297353CC}">
              <c16:uniqueId val="{00000000-04C4-4E1B-AE99-25E7DACA632F}"/>
            </c:ext>
          </c:extLst>
        </c:ser>
        <c:dLbls>
          <c:dLblPos val="inEnd"/>
          <c:showLegendKey val="0"/>
          <c:showVal val="1"/>
          <c:showCatName val="0"/>
          <c:showSerName val="0"/>
          <c:showPercent val="0"/>
          <c:showBubbleSize val="0"/>
        </c:dLbls>
        <c:gapWidth val="41"/>
        <c:axId val="927880720"/>
        <c:axId val="1027551888"/>
      </c:barChart>
      <c:catAx>
        <c:axId val="92788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rgbClr val="002060"/>
                </a:solidFill>
                <a:effectLst/>
                <a:latin typeface="+mn-lt"/>
                <a:ea typeface="+mn-ea"/>
                <a:cs typeface="+mn-cs"/>
              </a:defRPr>
            </a:pPr>
            <a:endParaRPr lang="en-US"/>
          </a:p>
        </c:txPr>
        <c:crossAx val="1027551888"/>
        <c:crosses val="autoZero"/>
        <c:auto val="1"/>
        <c:lblAlgn val="ctr"/>
        <c:lblOffset val="100"/>
        <c:noMultiLvlLbl val="0"/>
      </c:catAx>
      <c:valAx>
        <c:axId val="1027551888"/>
        <c:scaling>
          <c:orientation val="minMax"/>
        </c:scaling>
        <c:delete val="1"/>
        <c:axPos val="l"/>
        <c:numFmt formatCode="General" sourceLinked="1"/>
        <c:majorTickMark val="none"/>
        <c:minorTickMark val="none"/>
        <c:tickLblPos val="nextTo"/>
        <c:crossAx val="927880720"/>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[tailor_shop_dashboard.xlsx]Pivot tables!PivotTable2</c:name>
    <c:fmtId val="9"/>
  </c:pivotSource>
  <c:chart>
    <c:title>
      <c:tx>
        <c:rich>
          <a:bodyPr rot="0" spcFirstLastPara="1" vertOverflow="ellipsis" vert="horz" wrap="square" anchor="ctr" anchorCtr="1"/>
          <a:lstStyle/>
          <a:p>
            <a:pPr>
              <a:defRPr b="0" i="0" u="none" strike="noStrike" kern="1200" baseline="0">
                <a:solidFill>
                  <a:srgbClr val="002060"/>
                </a:solidFill>
                <a:effectLst/>
                <a:latin typeface="+mn-lt"/>
                <a:ea typeface="+mn-ea"/>
                <a:cs typeface="+mn-cs"/>
              </a:defRPr>
            </a:pPr>
            <a:r>
              <a:rPr lang="en-US" sz="3600" b="1">
                <a:solidFill>
                  <a:srgbClr val="002060"/>
                </a:solidFill>
              </a:rPr>
              <a:t>COST BY GARMENT TYPE</a:t>
            </a:r>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txPr>
        <a:bodyPr rot="0" spcFirstLastPara="1" vertOverflow="ellipsis" vert="horz" wrap="square" anchor="ctr" anchorCtr="1"/>
        <a:lstStyle/>
        <a:p>
          <a:pPr>
            <a:defRPr b="0" i="0" u="none" strike="noStrike" kern="1200" baseline="0">
              <a:solidFill>
                <a:srgbClr val="002060"/>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'Pivot tables'!$C$22</c:f>
              <c:strCache>
                <c:ptCount val="1"/>
                <c:pt idx="0">
                  <c:v>Total</c:v>
                </c:pt>
              </c:strCache>
            </c:strRef>
          </c:tx>
          <c:spPr>
            <a:solidFill>
              <a:schemeClr val="accent1"/>
            </a:soli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0-AFBB-4088-BCF5-16E4D7A065E5}"/>
              </c:ext>
            </c:extLst>
          </c:dPt>
          <c:dPt>
            <c:idx val="1"/>
            <c:invertIfNegative val="0"/>
            <c:bubble3D val="0"/>
            <c:spPr>
              <a:solidFill>
                <a:schemeClr val="accent1"/>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666B-4C8B-BB7A-A4D88B06C970}"/>
              </c:ext>
            </c:extLst>
          </c:dPt>
          <c:dLbls>
            <c:dLbl>
              <c:idx val="1"/>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66B-4C8B-BB7A-A4D88B06C970}"/>
                </c:ext>
              </c:extLst>
            </c:dLbl>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tables'!$B$23:$B$28</c:f>
              <c:strCache>
                <c:ptCount val="5"/>
                <c:pt idx="0">
                  <c:v>Jacket</c:v>
                </c:pt>
                <c:pt idx="1">
                  <c:v>Dress</c:v>
                </c:pt>
                <c:pt idx="2">
                  <c:v>Suit</c:v>
                </c:pt>
                <c:pt idx="3">
                  <c:v>Trousers</c:v>
                </c:pt>
                <c:pt idx="4">
                  <c:v>Shirt</c:v>
                </c:pt>
              </c:strCache>
            </c:strRef>
          </c:cat>
          <c:val>
            <c:numRef>
              <c:f>'Pivot tables'!$C$23:$C$28</c:f>
              <c:numCache>
                <c:formatCode>"₹"\ #,##0</c:formatCode>
                <c:ptCount val="5"/>
                <c:pt idx="0">
                  <c:v>61943</c:v>
                </c:pt>
                <c:pt idx="1">
                  <c:v>53361</c:v>
                </c:pt>
                <c:pt idx="2">
                  <c:v>52603</c:v>
                </c:pt>
                <c:pt idx="3">
                  <c:v>52259</c:v>
                </c:pt>
                <c:pt idx="4">
                  <c:v>49437</c:v>
                </c:pt>
              </c:numCache>
            </c:numRef>
          </c:val>
          <c:extLst>
            <c:ext xmlns:c16="http://schemas.microsoft.com/office/drawing/2014/chart" uri="{C3380CC4-5D6E-409C-BE32-E72D297353CC}">
              <c16:uniqueId val="{00000000-6691-4279-973A-1C4688A76BDD}"/>
            </c:ext>
          </c:extLst>
        </c:ser>
        <c:dLbls>
          <c:dLblPos val="inEnd"/>
          <c:showLegendKey val="0"/>
          <c:showVal val="1"/>
          <c:showCatName val="0"/>
          <c:showSerName val="0"/>
          <c:showPercent val="0"/>
          <c:showBubbleSize val="0"/>
        </c:dLbls>
        <c:gapWidth val="41"/>
        <c:axId val="1036728928"/>
        <c:axId val="1077104560"/>
      </c:barChart>
      <c:catAx>
        <c:axId val="103672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rgbClr val="002060"/>
                </a:solidFill>
                <a:effectLst/>
                <a:latin typeface="+mn-lt"/>
                <a:ea typeface="+mn-ea"/>
                <a:cs typeface="+mn-cs"/>
              </a:defRPr>
            </a:pPr>
            <a:endParaRPr lang="en-US"/>
          </a:p>
        </c:txPr>
        <c:crossAx val="1077104560"/>
        <c:crosses val="autoZero"/>
        <c:auto val="1"/>
        <c:lblAlgn val="ctr"/>
        <c:lblOffset val="100"/>
        <c:noMultiLvlLbl val="0"/>
      </c:catAx>
      <c:valAx>
        <c:axId val="1077104560"/>
        <c:scaling>
          <c:orientation val="minMax"/>
        </c:scaling>
        <c:delete val="1"/>
        <c:axPos val="l"/>
        <c:numFmt formatCode="&quot;₹&quot;\ #,##0" sourceLinked="1"/>
        <c:majorTickMark val="none"/>
        <c:minorTickMark val="none"/>
        <c:tickLblPos val="nextTo"/>
        <c:crossAx val="1036728928"/>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[tailor_shop_dashboard.xlsx]Pivot tables!PivotTable3</c:name>
    <c:fmtId val="9"/>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3600" b="1">
                <a:solidFill>
                  <a:srgbClr val="002060"/>
                </a:solidFill>
              </a:rPr>
              <a:t>ORDER</a:t>
            </a:r>
            <a:r>
              <a:rPr lang="en-US" sz="3600" b="1" baseline="0">
                <a:solidFill>
                  <a:srgbClr val="002060"/>
                </a:solidFill>
              </a:rPr>
              <a:t> STATUS DISTRIBUTION</a:t>
            </a:r>
            <a:endParaRPr lang="en-US" sz="3600" b="1">
              <a:solidFill>
                <a:srgbClr val="002060"/>
              </a:solidFill>
            </a:endParaRPr>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hade val="53000"/>
            </a:schemeClr>
          </a:solidFill>
          <a:ln>
            <a:noFill/>
          </a:ln>
          <a:effectLst/>
        </c:spPr>
      </c:pivotFmt>
      <c:pivotFmt>
        <c:idx val="14"/>
        <c:spPr>
          <a:solidFill>
            <a:schemeClr val="accent1">
              <a:shade val="76000"/>
            </a:schemeClr>
          </a:solidFill>
          <a:ln>
            <a:noFill/>
          </a:ln>
          <a:effectLst/>
        </c:spPr>
      </c:pivotFmt>
      <c:pivotFmt>
        <c:idx val="15"/>
        <c:spPr>
          <a:solidFill>
            <a:schemeClr val="accent1"/>
          </a:solidFill>
          <a:ln>
            <a:noFill/>
          </a:ln>
          <a:effectLst/>
        </c:spPr>
      </c:pivotFmt>
      <c:pivotFmt>
        <c:idx val="16"/>
        <c:spPr>
          <a:solidFill>
            <a:schemeClr val="accent1">
              <a:tint val="77000"/>
            </a:schemeClr>
          </a:solidFill>
          <a:ln>
            <a:noFill/>
          </a:ln>
          <a:effectLst/>
        </c:spPr>
      </c:pivotFmt>
      <c:pivotFmt>
        <c:idx val="17"/>
        <c:spPr>
          <a:solidFill>
            <a:schemeClr val="accent1">
              <a:tint val="54000"/>
            </a:schemeClr>
          </a:solidFill>
          <a:ln>
            <a:noFill/>
          </a:ln>
          <a:effectLst/>
        </c:spPr>
      </c:pivotFmt>
    </c:pivotFmts>
    <c:plotArea>
      <c:layout>
        <c:manualLayout>
          <c:layoutTarget val="inner"/>
          <c:xMode val="edge"/>
          <c:yMode val="edge"/>
          <c:x val="0.12196581820430186"/>
          <c:y val="8.958440809661819E-2"/>
          <c:w val="0.74283932227455096"/>
          <c:h val="0.91058837533727699"/>
        </c:manualLayout>
      </c:layout>
      <c:barChart>
        <c:barDir val="bar"/>
        <c:grouping val="clustered"/>
        <c:varyColors val="0"/>
        <c:ser>
          <c:idx val="0"/>
          <c:order val="0"/>
          <c:tx>
            <c:strRef>
              <c:f>'Pivot tables'!$C$38</c:f>
              <c:strCache>
                <c:ptCount val="1"/>
                <c:pt idx="0">
                  <c:v>Total</c:v>
                </c:pt>
              </c:strCache>
            </c:strRef>
          </c:tx>
          <c:spPr>
            <a:solidFill>
              <a:schemeClr val="accent1"/>
            </a:solidFill>
            <a:ln>
              <a:noFill/>
            </a:ln>
            <a:effectLst/>
          </c:spPr>
          <c:invertIfNegative val="0"/>
          <c:dPt>
            <c:idx val="0"/>
            <c:invertIfNegative val="0"/>
            <c:bubble3D val="0"/>
            <c:spPr>
              <a:solidFill>
                <a:schemeClr val="accent1">
                  <a:shade val="53000"/>
                </a:schemeClr>
              </a:solidFill>
              <a:ln>
                <a:noFill/>
              </a:ln>
              <a:effectLst/>
            </c:spPr>
            <c:extLst>
              <c:ext xmlns:c16="http://schemas.microsoft.com/office/drawing/2014/chart" uri="{C3380CC4-5D6E-409C-BE32-E72D297353CC}">
                <c16:uniqueId val="{00000001-F3A3-4DC3-973C-73176B7E2BC1}"/>
              </c:ext>
            </c:extLst>
          </c:dPt>
          <c:dPt>
            <c:idx val="1"/>
            <c:invertIfNegative val="0"/>
            <c:bubble3D val="0"/>
            <c:spPr>
              <a:solidFill>
                <a:schemeClr val="accent1">
                  <a:shade val="76000"/>
                </a:schemeClr>
              </a:solidFill>
              <a:ln>
                <a:noFill/>
              </a:ln>
              <a:effectLst/>
            </c:spPr>
            <c:extLst>
              <c:ext xmlns:c16="http://schemas.microsoft.com/office/drawing/2014/chart" uri="{C3380CC4-5D6E-409C-BE32-E72D297353CC}">
                <c16:uniqueId val="{00000003-F3A3-4DC3-973C-73176B7E2BC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F3A3-4DC3-973C-73176B7E2BC1}"/>
              </c:ext>
            </c:extLst>
          </c:dPt>
          <c:dPt>
            <c:idx val="3"/>
            <c:invertIfNegative val="0"/>
            <c:bubble3D val="0"/>
            <c:spPr>
              <a:solidFill>
                <a:schemeClr val="accent1">
                  <a:tint val="77000"/>
                </a:schemeClr>
              </a:solidFill>
              <a:ln>
                <a:noFill/>
              </a:ln>
              <a:effectLst/>
            </c:spPr>
            <c:extLst>
              <c:ext xmlns:c16="http://schemas.microsoft.com/office/drawing/2014/chart" uri="{C3380CC4-5D6E-409C-BE32-E72D297353CC}">
                <c16:uniqueId val="{00000007-F3A3-4DC3-973C-73176B7E2BC1}"/>
              </c:ext>
            </c:extLst>
          </c:dPt>
          <c:dPt>
            <c:idx val="4"/>
            <c:invertIfNegative val="0"/>
            <c:bubble3D val="0"/>
            <c:spPr>
              <a:solidFill>
                <a:schemeClr val="accent1">
                  <a:tint val="54000"/>
                </a:schemeClr>
              </a:solidFill>
              <a:ln>
                <a:noFill/>
              </a:ln>
              <a:effectLst/>
            </c:spPr>
            <c:extLst>
              <c:ext xmlns:c16="http://schemas.microsoft.com/office/drawing/2014/chart" uri="{C3380CC4-5D6E-409C-BE32-E72D297353CC}">
                <c16:uniqueId val="{00000009-F3A3-4DC3-973C-73176B7E2BC1}"/>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tables'!$B$39:$B$44</c:f>
              <c:strCache>
                <c:ptCount val="5"/>
                <c:pt idx="0">
                  <c:v>Awaiting Pickup</c:v>
                </c:pt>
                <c:pt idx="1">
                  <c:v>Cutting</c:v>
                </c:pt>
                <c:pt idx="2">
                  <c:v>Measuring</c:v>
                </c:pt>
                <c:pt idx="3">
                  <c:v>Ready to Ship</c:v>
                </c:pt>
                <c:pt idx="4">
                  <c:v>Sewing</c:v>
                </c:pt>
              </c:strCache>
            </c:strRef>
          </c:cat>
          <c:val>
            <c:numRef>
              <c:f>'Pivot tables'!$C$39:$C$44</c:f>
              <c:numCache>
                <c:formatCode>General</c:formatCode>
                <c:ptCount val="5"/>
                <c:pt idx="0">
                  <c:v>202</c:v>
                </c:pt>
                <c:pt idx="1">
                  <c:v>207</c:v>
                </c:pt>
                <c:pt idx="2">
                  <c:v>200</c:v>
                </c:pt>
                <c:pt idx="3">
                  <c:v>198</c:v>
                </c:pt>
                <c:pt idx="4">
                  <c:v>193</c:v>
                </c:pt>
              </c:numCache>
            </c:numRef>
          </c:val>
          <c:extLst>
            <c:ext xmlns:c16="http://schemas.microsoft.com/office/drawing/2014/chart" uri="{C3380CC4-5D6E-409C-BE32-E72D297353CC}">
              <c16:uniqueId val="{0000000E-6D56-4DD6-A219-0E95604FF10F}"/>
            </c:ext>
          </c:extLst>
        </c:ser>
        <c:dLbls>
          <c:showLegendKey val="0"/>
          <c:showVal val="0"/>
          <c:showCatName val="0"/>
          <c:showSerName val="0"/>
          <c:showPercent val="0"/>
          <c:showBubbleSize val="0"/>
        </c:dLbls>
        <c:gapWidth val="100"/>
        <c:axId val="662819455"/>
        <c:axId val="822719568"/>
      </c:barChart>
      <c:valAx>
        <c:axId val="82271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819455"/>
        <c:crosses val="autoZero"/>
        <c:crossBetween val="between"/>
      </c:valAx>
      <c:catAx>
        <c:axId val="662819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19568"/>
        <c:crosses val="autoZero"/>
        <c:auto val="1"/>
        <c:lblAlgn val="ctr"/>
        <c:lblOffset val="100"/>
        <c:noMultiLvlLbl val="0"/>
      </c:cat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[tailor_shop_dashboard.xlsx]Pivot tables!PivotTable4</c:name>
    <c:fmtId val="2"/>
  </c:pivotSource>
  <c:chart>
    <c:title>
      <c:tx>
        <c:rich>
          <a:bodyPr rot="0" spcFirstLastPara="1" vertOverflow="ellipsis" vert="horz" wrap="square" anchor="ctr" anchorCtr="1"/>
          <a:lstStyle/>
          <a:p>
            <a:pPr algn="ctr">
              <a:defRPr sz="3600" b="0" i="0" u="none" strike="noStrike" kern="1200" baseline="0">
                <a:solidFill>
                  <a:srgbClr val="002060"/>
                </a:solidFill>
                <a:effectLst/>
                <a:latin typeface="+mn-lt"/>
                <a:ea typeface="+mn-ea"/>
                <a:cs typeface="+mn-cs"/>
              </a:defRPr>
            </a:pPr>
            <a:r>
              <a:rPr lang="en-IN" sz="3600" b="1" i="0" u="none" strike="noStrike" baseline="0">
                <a:solidFill>
                  <a:srgbClr val="002060"/>
                </a:solidFill>
                <a:effectLst/>
              </a:rPr>
              <a:t>Monthly Cost Trend</a:t>
            </a:r>
            <a:endParaRPr lang="en-US" sz="3600" b="1">
              <a:solidFill>
                <a:srgbClr val="002060"/>
              </a:solidFill>
            </a:endParaRPr>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txPr>
        <a:bodyPr rot="0" spcFirstLastPara="1" vertOverflow="ellipsis" vert="horz" wrap="square" anchor="ctr" anchorCtr="1"/>
        <a:lstStyle/>
        <a:p>
          <a:pPr algn="ctr">
            <a:defRPr sz="3600" b="0" i="0" u="none" strike="noStrike" kern="1200" baseline="0">
              <a:solidFill>
                <a:srgbClr val="002060"/>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76200" cap="sq">
            <a:solidFill>
              <a:schemeClr val="accent1"/>
            </a:solidFill>
            <a:prstDash val="solid"/>
            <a:miter lim="800000"/>
            <a:headEnd type="none"/>
          </a:ln>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76200" cap="sq">
            <a:solidFill>
              <a:schemeClr val="accent1"/>
            </a:solidFill>
            <a:prstDash val="solid"/>
            <a:miter lim="800000"/>
            <a:headEnd type="none"/>
          </a:ln>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pivotFmt>
    </c:pivotFmts>
    <c:plotArea>
      <c:layout/>
      <c:lineChart>
        <c:grouping val="stacked"/>
        <c:varyColors val="0"/>
        <c:ser>
          <c:idx val="0"/>
          <c:order val="0"/>
          <c:tx>
            <c:strRef>
              <c:f>'Pivot tables'!$C$57</c:f>
              <c:strCache>
                <c:ptCount val="1"/>
                <c:pt idx="0">
                  <c:v>Total</c:v>
                </c:pt>
              </c:strCache>
            </c:strRef>
          </c:tx>
          <c:spPr>
            <a:ln w="76200" cap="sq">
              <a:solidFill>
                <a:schemeClr val="accent1"/>
              </a:solidFill>
              <a:prstDash val="solid"/>
              <a:miter lim="800000"/>
              <a:headEnd type="none"/>
            </a:ln>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tables'!$B$58:$B$62</c:f>
              <c:strCache>
                <c:ptCount val="4"/>
                <c:pt idx="0">
                  <c:v>Jan</c:v>
                </c:pt>
                <c:pt idx="1">
                  <c:v>Feb</c:v>
                </c:pt>
                <c:pt idx="2">
                  <c:v>Mar</c:v>
                </c:pt>
                <c:pt idx="3">
                  <c:v>Apr</c:v>
                </c:pt>
              </c:strCache>
            </c:strRef>
          </c:cat>
          <c:val>
            <c:numRef>
              <c:f>'Pivot tables'!$C$58:$C$62</c:f>
              <c:numCache>
                <c:formatCode>General</c:formatCode>
                <c:ptCount val="4"/>
                <c:pt idx="0">
                  <c:v>68643</c:v>
                </c:pt>
                <c:pt idx="1">
                  <c:v>71801</c:v>
                </c:pt>
                <c:pt idx="2">
                  <c:v>64315</c:v>
                </c:pt>
                <c:pt idx="3">
                  <c:v>64844</c:v>
                </c:pt>
              </c:numCache>
            </c:numRef>
          </c:val>
          <c:smooth val="0"/>
          <c:extLst>
            <c:ext xmlns:c16="http://schemas.microsoft.com/office/drawing/2014/chart" uri="{C3380CC4-5D6E-409C-BE32-E72D297353CC}">
              <c16:uniqueId val="{00000000-8E81-499E-BA78-120878808605}"/>
            </c:ext>
          </c:extLst>
        </c:ser>
        <c:dLbls>
          <c:showLegendKey val="0"/>
          <c:showVal val="1"/>
          <c:showCatName val="0"/>
          <c:showSerName val="0"/>
          <c:showPercent val="0"/>
          <c:showBubbleSize val="0"/>
        </c:dLbls>
        <c:marker val="1"/>
        <c:smooth val="0"/>
        <c:axId val="1086297808"/>
        <c:axId val="1077109360"/>
      </c:lineChart>
      <c:catAx>
        <c:axId val="1086297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rgbClr val="002060"/>
                </a:solidFill>
                <a:effectLst/>
                <a:latin typeface="+mn-lt"/>
                <a:ea typeface="+mn-ea"/>
                <a:cs typeface="+mn-cs"/>
              </a:defRPr>
            </a:pPr>
            <a:endParaRPr lang="en-US"/>
          </a:p>
        </c:txPr>
        <c:crossAx val="1077109360"/>
        <c:crosses val="autoZero"/>
        <c:auto val="1"/>
        <c:lblAlgn val="ctr"/>
        <c:lblOffset val="100"/>
        <c:noMultiLvlLbl val="0"/>
      </c:catAx>
      <c:valAx>
        <c:axId val="1077109360"/>
        <c:scaling>
          <c:orientation val="minMax"/>
        </c:scaling>
        <c:delete val="1"/>
        <c:axPos val="l"/>
        <c:numFmt formatCode="General" sourceLinked="1"/>
        <c:majorTickMark val="none"/>
        <c:minorTickMark val="none"/>
        <c:tickLblPos val="nextTo"/>
        <c:crossAx val="1086297808"/>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tables!PivotTable7</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3600" b="1" i="0" u="none" strike="noStrike" baseline="0">
                <a:solidFill>
                  <a:srgbClr val="002060"/>
                </a:solidFill>
                <a:effectLst/>
              </a:rPr>
              <a:t>Monthly Order Trend</a:t>
            </a:r>
            <a:endParaRPr lang="en-IN" sz="3600" b="1">
              <a:solidFill>
                <a:srgbClr val="002060"/>
              </a:solidFill>
            </a:endParaRPr>
          </a:p>
        </c:rich>
      </c:tx>
      <c:overlay val="0"/>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76200" cap="sq" cmpd="sng">
            <a:solidFill>
              <a:schemeClr val="accent1"/>
            </a:solidFill>
            <a:prstDash val="solid"/>
            <a:miter lim="800000"/>
          </a:ln>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tables'!$C$111</c:f>
              <c:strCache>
                <c:ptCount val="1"/>
                <c:pt idx="0">
                  <c:v>Total</c:v>
                </c:pt>
              </c:strCache>
            </c:strRef>
          </c:tx>
          <c:spPr>
            <a:ln w="76200" cap="sq" cmpd="sng">
              <a:solidFill>
                <a:schemeClr val="accent1"/>
              </a:solidFill>
              <a:prstDash val="solid"/>
              <a:miter lim="800000"/>
            </a:ln>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tables'!$B$112:$B$116</c:f>
              <c:strCache>
                <c:ptCount val="4"/>
                <c:pt idx="0">
                  <c:v>Jan</c:v>
                </c:pt>
                <c:pt idx="1">
                  <c:v>Feb</c:v>
                </c:pt>
                <c:pt idx="2">
                  <c:v>Mar</c:v>
                </c:pt>
                <c:pt idx="3">
                  <c:v>Apr</c:v>
                </c:pt>
              </c:strCache>
            </c:strRef>
          </c:cat>
          <c:val>
            <c:numRef>
              <c:f>'Pivot tables'!$C$112:$C$116</c:f>
              <c:numCache>
                <c:formatCode>General</c:formatCode>
                <c:ptCount val="4"/>
                <c:pt idx="0">
                  <c:v>258</c:v>
                </c:pt>
                <c:pt idx="1">
                  <c:v>263</c:v>
                </c:pt>
                <c:pt idx="2">
                  <c:v>244</c:v>
                </c:pt>
                <c:pt idx="3">
                  <c:v>235</c:v>
                </c:pt>
              </c:numCache>
            </c:numRef>
          </c:val>
          <c:smooth val="0"/>
          <c:extLst>
            <c:ext xmlns:c16="http://schemas.microsoft.com/office/drawing/2014/chart" uri="{C3380CC4-5D6E-409C-BE32-E72D297353CC}">
              <c16:uniqueId val="{00000000-FC62-48C4-BA85-093F8DF44FE9}"/>
            </c:ext>
          </c:extLst>
        </c:ser>
        <c:dLbls>
          <c:showLegendKey val="0"/>
          <c:showVal val="1"/>
          <c:showCatName val="0"/>
          <c:showSerName val="0"/>
          <c:showPercent val="0"/>
          <c:showBubbleSize val="0"/>
        </c:dLbls>
        <c:marker val="1"/>
        <c:smooth val="0"/>
        <c:axId val="174309712"/>
        <c:axId val="1814497967"/>
      </c:lineChart>
      <c:catAx>
        <c:axId val="174309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rgbClr val="002060"/>
                </a:solidFill>
                <a:effectLst/>
                <a:latin typeface="+mn-lt"/>
                <a:ea typeface="+mn-ea"/>
                <a:cs typeface="+mn-cs"/>
              </a:defRPr>
            </a:pPr>
            <a:endParaRPr lang="en-US"/>
          </a:p>
        </c:txPr>
        <c:crossAx val="1814497967"/>
        <c:crosses val="autoZero"/>
        <c:auto val="1"/>
        <c:lblAlgn val="ctr"/>
        <c:lblOffset val="100"/>
        <c:noMultiLvlLbl val="0"/>
      </c:catAx>
      <c:valAx>
        <c:axId val="1814497967"/>
        <c:scaling>
          <c:orientation val="minMax"/>
        </c:scaling>
        <c:delete val="1"/>
        <c:axPos val="l"/>
        <c:numFmt formatCode="General" sourceLinked="1"/>
        <c:majorTickMark val="none"/>
        <c:minorTickMark val="none"/>
        <c:tickLblPos val="nextTo"/>
        <c:crossAx val="174309712"/>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tables!PivotTable8</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3600" b="1">
                <a:solidFill>
                  <a:srgbClr val="002060"/>
                </a:solidFill>
              </a:rPr>
              <a:t>MATERIAL DISTRIBUTION</a:t>
            </a:r>
          </a:p>
        </c:rich>
      </c:tx>
      <c:overlay val="0"/>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tables'!$C$130</c:f>
              <c:strCache>
                <c:ptCount val="1"/>
                <c:pt idx="0">
                  <c:v>Total</c:v>
                </c:pt>
              </c:strCache>
            </c:strRef>
          </c:tx>
          <c:spPr>
            <a:solidFill>
              <a:schemeClr val="accent1"/>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tables'!$B$131:$B$136</c:f>
              <c:strCache>
                <c:ptCount val="5"/>
                <c:pt idx="0">
                  <c:v>Wool</c:v>
                </c:pt>
                <c:pt idx="1">
                  <c:v>Silk</c:v>
                </c:pt>
                <c:pt idx="2">
                  <c:v>Linen</c:v>
                </c:pt>
                <c:pt idx="3">
                  <c:v>Cotton</c:v>
                </c:pt>
                <c:pt idx="4">
                  <c:v>Leather</c:v>
                </c:pt>
              </c:strCache>
            </c:strRef>
          </c:cat>
          <c:val>
            <c:numRef>
              <c:f>'Pivot tables'!$C$131:$C$136</c:f>
              <c:numCache>
                <c:formatCode>General</c:formatCode>
                <c:ptCount val="5"/>
                <c:pt idx="0">
                  <c:v>225</c:v>
                </c:pt>
                <c:pt idx="1">
                  <c:v>207</c:v>
                </c:pt>
                <c:pt idx="2">
                  <c:v>199</c:v>
                </c:pt>
                <c:pt idx="3">
                  <c:v>193</c:v>
                </c:pt>
                <c:pt idx="4">
                  <c:v>176</c:v>
                </c:pt>
              </c:numCache>
            </c:numRef>
          </c:val>
          <c:extLst>
            <c:ext xmlns:c16="http://schemas.microsoft.com/office/drawing/2014/chart" uri="{C3380CC4-5D6E-409C-BE32-E72D297353CC}">
              <c16:uniqueId val="{00000000-D147-4771-8BAC-16E94D55057A}"/>
            </c:ext>
          </c:extLst>
        </c:ser>
        <c:dLbls>
          <c:dLblPos val="inEnd"/>
          <c:showLegendKey val="0"/>
          <c:showVal val="1"/>
          <c:showCatName val="0"/>
          <c:showSerName val="0"/>
          <c:showPercent val="0"/>
          <c:showBubbleSize val="0"/>
        </c:dLbls>
        <c:gapWidth val="41"/>
        <c:axId val="6979552"/>
        <c:axId val="828921327"/>
      </c:barChart>
      <c:catAx>
        <c:axId val="6979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rgbClr val="002060"/>
                </a:solidFill>
                <a:effectLst/>
                <a:latin typeface="+mn-lt"/>
                <a:ea typeface="+mn-ea"/>
                <a:cs typeface="+mn-cs"/>
              </a:defRPr>
            </a:pPr>
            <a:endParaRPr lang="en-US"/>
          </a:p>
        </c:txPr>
        <c:crossAx val="828921327"/>
        <c:crosses val="autoZero"/>
        <c:auto val="1"/>
        <c:lblAlgn val="ctr"/>
        <c:lblOffset val="100"/>
        <c:noMultiLvlLbl val="0"/>
      </c:catAx>
      <c:valAx>
        <c:axId val="828921327"/>
        <c:scaling>
          <c:orientation val="minMax"/>
        </c:scaling>
        <c:delete val="1"/>
        <c:axPos val="b"/>
        <c:numFmt formatCode="General" sourceLinked="1"/>
        <c:majorTickMark val="none"/>
        <c:minorTickMark val="none"/>
        <c:tickLblPos val="nextTo"/>
        <c:crossAx val="6979552"/>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tables!PivotTable6</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3200" b="1">
                <a:solidFill>
                  <a:srgbClr val="002060"/>
                </a:solidFill>
              </a:rPr>
              <a:t>AVERAGE COST BY GARMENT TYPE</a:t>
            </a:r>
          </a:p>
        </c:rich>
      </c:tx>
      <c:overlay val="0"/>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tables'!$B$95:$B$100</c:f>
              <c:strCache>
                <c:ptCount val="5"/>
                <c:pt idx="0">
                  <c:v>Dress</c:v>
                </c:pt>
                <c:pt idx="1">
                  <c:v>Jacket</c:v>
                </c:pt>
                <c:pt idx="2">
                  <c:v>Shirt</c:v>
                </c:pt>
                <c:pt idx="3">
                  <c:v>Suit</c:v>
                </c:pt>
                <c:pt idx="4">
                  <c:v>Trousers</c:v>
                </c:pt>
              </c:strCache>
            </c:strRef>
          </c:cat>
          <c:val>
            <c:numRef>
              <c:f>'Pivot tables'!$C$95:$C$100</c:f>
              <c:numCache>
                <c:formatCode>0.0</c:formatCode>
                <c:ptCount val="5"/>
                <c:pt idx="0">
                  <c:v>269.5</c:v>
                </c:pt>
                <c:pt idx="1">
                  <c:v>272.87665198237886</c:v>
                </c:pt>
                <c:pt idx="2">
                  <c:v>262.96276595744683</c:v>
                </c:pt>
                <c:pt idx="3">
                  <c:v>271.14948453608247</c:v>
                </c:pt>
                <c:pt idx="4">
                  <c:v>270.77202072538859</c:v>
                </c:pt>
              </c:numCache>
            </c:numRef>
          </c:val>
          <c:extLst>
            <c:ext xmlns:c16="http://schemas.microsoft.com/office/drawing/2014/chart" uri="{C3380CC4-5D6E-409C-BE32-E72D297353CC}">
              <c16:uniqueId val="{00000000-7D87-4492-B21D-E40B683CBCFC}"/>
            </c:ext>
          </c:extLst>
        </c:ser>
        <c:dLbls>
          <c:dLblPos val="inEnd"/>
          <c:showLegendKey val="0"/>
          <c:showVal val="1"/>
          <c:showCatName val="0"/>
          <c:showSerName val="0"/>
          <c:showPercent val="0"/>
          <c:showBubbleSize val="0"/>
        </c:dLbls>
        <c:gapWidth val="41"/>
        <c:axId val="1520233120"/>
        <c:axId val="1077040240"/>
      </c:barChart>
      <c:catAx>
        <c:axId val="152023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rgbClr val="002060"/>
                </a:solidFill>
                <a:effectLst/>
                <a:latin typeface="+mn-lt"/>
                <a:ea typeface="+mn-ea"/>
                <a:cs typeface="+mn-cs"/>
              </a:defRPr>
            </a:pPr>
            <a:endParaRPr lang="en-US"/>
          </a:p>
        </c:txPr>
        <c:crossAx val="1077040240"/>
        <c:crosses val="autoZero"/>
        <c:auto val="1"/>
        <c:lblAlgn val="ctr"/>
        <c:lblOffset val="100"/>
        <c:noMultiLvlLbl val="0"/>
      </c:catAx>
      <c:valAx>
        <c:axId val="1077040240"/>
        <c:scaling>
          <c:orientation val="minMax"/>
        </c:scaling>
        <c:delete val="1"/>
        <c:axPos val="l"/>
        <c:numFmt formatCode="0.0" sourceLinked="1"/>
        <c:majorTickMark val="none"/>
        <c:minorTickMark val="none"/>
        <c:tickLblPos val="nextTo"/>
        <c:crossAx val="1520233120"/>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tables!PivotTable13</c:name>
    <c:fmtId val="33"/>
  </c:pivotSource>
  <c:chart>
    <c:title>
      <c:tx>
        <c:rich>
          <a:bodyPr rot="0" spcFirstLastPara="1" vertOverflow="ellipsis" vert="horz" wrap="square" anchor="ctr" anchorCtr="1"/>
          <a:lstStyle/>
          <a:p>
            <a:pPr>
              <a:defRPr sz="3600" b="0" i="0" u="none" strike="noStrike" kern="1200" baseline="0">
                <a:solidFill>
                  <a:schemeClr val="dk1">
                    <a:lumMod val="65000"/>
                    <a:lumOff val="35000"/>
                  </a:schemeClr>
                </a:solidFill>
                <a:effectLst/>
                <a:latin typeface="+mn-lt"/>
                <a:ea typeface="+mn-ea"/>
                <a:cs typeface="+mn-cs"/>
              </a:defRPr>
            </a:pPr>
            <a:r>
              <a:rPr lang="en-US" sz="3600" b="1">
                <a:solidFill>
                  <a:srgbClr val="002060"/>
                </a:solidFill>
              </a:rPr>
              <a:t>AVERAGE COST BY MATERIAL</a:t>
            </a:r>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txPr>
        <a:bodyPr rot="0" spcFirstLastPara="1" vertOverflow="ellipsis" vert="horz" wrap="square" anchor="ctr" anchorCtr="1"/>
        <a:lstStyle/>
        <a:p>
          <a:pPr>
            <a:defRPr sz="36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tables'!$D$162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tables'!$C$163:$C$168</c:f>
              <c:strCache>
                <c:ptCount val="5"/>
                <c:pt idx="0">
                  <c:v>Cotton</c:v>
                </c:pt>
                <c:pt idx="1">
                  <c:v>Leather</c:v>
                </c:pt>
                <c:pt idx="2">
                  <c:v>Linen</c:v>
                </c:pt>
                <c:pt idx="3">
                  <c:v>Silk</c:v>
                </c:pt>
                <c:pt idx="4">
                  <c:v>Wool</c:v>
                </c:pt>
              </c:strCache>
            </c:strRef>
          </c:cat>
          <c:val>
            <c:numRef>
              <c:f>'Pivot tables'!$D$163:$D$168</c:f>
              <c:numCache>
                <c:formatCode>0</c:formatCode>
                <c:ptCount val="5"/>
                <c:pt idx="0">
                  <c:v>261.66839378238342</c:v>
                </c:pt>
                <c:pt idx="1">
                  <c:v>261.05113636363637</c:v>
                </c:pt>
                <c:pt idx="2">
                  <c:v>274.8291457286432</c:v>
                </c:pt>
                <c:pt idx="3">
                  <c:v>282.41062801932367</c:v>
                </c:pt>
                <c:pt idx="4">
                  <c:v>266.69333333333333</c:v>
                </c:pt>
              </c:numCache>
            </c:numRef>
          </c:val>
          <c:extLst>
            <c:ext xmlns:c16="http://schemas.microsoft.com/office/drawing/2014/chart" uri="{C3380CC4-5D6E-409C-BE32-E72D297353CC}">
              <c16:uniqueId val="{00000000-33BD-4BA7-ADA8-C88C5FCD0F51}"/>
            </c:ext>
          </c:extLst>
        </c:ser>
        <c:dLbls>
          <c:dLblPos val="inEnd"/>
          <c:showLegendKey val="0"/>
          <c:showVal val="1"/>
          <c:showCatName val="0"/>
          <c:showSerName val="0"/>
          <c:showPercent val="0"/>
          <c:showBubbleSize val="0"/>
        </c:dLbls>
        <c:gapWidth val="41"/>
        <c:axId val="732681375"/>
        <c:axId val="1215455472"/>
      </c:barChart>
      <c:catAx>
        <c:axId val="732681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600" b="1" i="0" u="none" strike="noStrike" kern="1200" baseline="0">
                <a:solidFill>
                  <a:srgbClr val="002060"/>
                </a:solidFill>
                <a:effectLst/>
                <a:latin typeface="+mn-lt"/>
                <a:ea typeface="+mn-ea"/>
                <a:cs typeface="+mn-cs"/>
              </a:defRPr>
            </a:pPr>
            <a:endParaRPr lang="en-US"/>
          </a:p>
        </c:txPr>
        <c:crossAx val="1215455472"/>
        <c:crosses val="autoZero"/>
        <c:auto val="1"/>
        <c:lblAlgn val="ctr"/>
        <c:lblOffset val="100"/>
        <c:noMultiLvlLbl val="0"/>
      </c:catAx>
      <c:valAx>
        <c:axId val="1215455472"/>
        <c:scaling>
          <c:orientation val="minMax"/>
        </c:scaling>
        <c:delete val="1"/>
        <c:axPos val="l"/>
        <c:numFmt formatCode="0" sourceLinked="1"/>
        <c:majorTickMark val="none"/>
        <c:minorTickMark val="none"/>
        <c:tickLblPos val="nextTo"/>
        <c:crossAx val="73268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[tailor_shop_dashboard.xlsx]Pivot tables!PivotTable14</c:name>
    <c:fmtId val="4"/>
  </c:pivotSource>
  <c:chart>
    <c:title>
      <c:tx>
        <c:rich>
          <a:bodyPr rot="0" spcFirstLastPara="1" vertOverflow="ellipsis" vert="horz" wrap="square" anchor="ctr" anchorCtr="1"/>
          <a:lstStyle/>
          <a:p>
            <a:pPr>
              <a:defRPr sz="2800" b="0" i="0" u="none" strike="noStrike" kern="1200" baseline="0">
                <a:solidFill>
                  <a:schemeClr val="dk1">
                    <a:lumMod val="65000"/>
                    <a:lumOff val="35000"/>
                  </a:schemeClr>
                </a:solidFill>
                <a:effectLst/>
                <a:latin typeface="+mn-lt"/>
                <a:ea typeface="+mn-ea"/>
                <a:cs typeface="+mn-cs"/>
              </a:defRPr>
            </a:pPr>
            <a:r>
              <a:rPr lang="en-US" sz="2800" b="1">
                <a:solidFill>
                  <a:srgbClr val="002060"/>
                </a:solidFill>
              </a:rPr>
              <a:t>AVERAGE</a:t>
            </a:r>
            <a:r>
              <a:rPr lang="en-US" sz="2800" b="1" baseline="0">
                <a:solidFill>
                  <a:srgbClr val="002060"/>
                </a:solidFill>
              </a:rPr>
              <a:t> PROCESSING DAYS BY GARMENT TYPE</a:t>
            </a:r>
            <a:endParaRPr lang="en-US" sz="2800" b="1">
              <a:solidFill>
                <a:srgbClr val="002060"/>
              </a:solidFill>
            </a:endParaRPr>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txPr>
        <a:bodyPr rot="0" spcFirstLastPara="1" vertOverflow="ellipsis" vert="horz" wrap="square" anchor="ctr" anchorCtr="1"/>
        <a:lstStyle/>
        <a:p>
          <a:pPr>
            <a:defRPr sz="28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tables'!$D$179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tables'!$C$180:$C$185</c:f>
              <c:strCache>
                <c:ptCount val="5"/>
                <c:pt idx="0">
                  <c:v>Dress</c:v>
                </c:pt>
                <c:pt idx="1">
                  <c:v>Jacket</c:v>
                </c:pt>
                <c:pt idx="2">
                  <c:v>Shirt</c:v>
                </c:pt>
                <c:pt idx="3">
                  <c:v>Suit</c:v>
                </c:pt>
                <c:pt idx="4">
                  <c:v>Trousers</c:v>
                </c:pt>
              </c:strCache>
            </c:strRef>
          </c:cat>
          <c:val>
            <c:numRef>
              <c:f>'Pivot tables'!$D$180:$D$185</c:f>
              <c:numCache>
                <c:formatCode>0</c:formatCode>
                <c:ptCount val="5"/>
                <c:pt idx="0">
                  <c:v>74.984848484848484</c:v>
                </c:pt>
                <c:pt idx="1">
                  <c:v>74.502202643171813</c:v>
                </c:pt>
                <c:pt idx="2">
                  <c:v>75.547872340425528</c:v>
                </c:pt>
                <c:pt idx="3">
                  <c:v>74.340206185567013</c:v>
                </c:pt>
                <c:pt idx="4">
                  <c:v>75.761658031088089</c:v>
                </c:pt>
              </c:numCache>
            </c:numRef>
          </c:val>
          <c:extLst>
            <c:ext xmlns:c16="http://schemas.microsoft.com/office/drawing/2014/chart" uri="{C3380CC4-5D6E-409C-BE32-E72D297353CC}">
              <c16:uniqueId val="{00000000-CB49-4C29-BD84-45716614AA15}"/>
            </c:ext>
          </c:extLst>
        </c:ser>
        <c:dLbls>
          <c:dLblPos val="inEnd"/>
          <c:showLegendKey val="0"/>
          <c:showVal val="1"/>
          <c:showCatName val="0"/>
          <c:showSerName val="0"/>
          <c:showPercent val="0"/>
          <c:showBubbleSize val="0"/>
        </c:dLbls>
        <c:gapWidth val="41"/>
        <c:axId val="768451903"/>
        <c:axId val="630948143"/>
      </c:barChart>
      <c:catAx>
        <c:axId val="76845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600" b="1" i="0" u="none" strike="noStrike" kern="1200" baseline="0">
                <a:solidFill>
                  <a:srgbClr val="002060"/>
                </a:solidFill>
                <a:effectLst/>
                <a:latin typeface="+mn-lt"/>
                <a:ea typeface="+mn-ea"/>
                <a:cs typeface="+mn-cs"/>
              </a:defRPr>
            </a:pPr>
            <a:endParaRPr lang="en-US"/>
          </a:p>
        </c:txPr>
        <c:crossAx val="630948143"/>
        <c:crosses val="autoZero"/>
        <c:auto val="1"/>
        <c:lblAlgn val="ctr"/>
        <c:lblOffset val="100"/>
        <c:noMultiLvlLbl val="0"/>
      </c:catAx>
      <c:valAx>
        <c:axId val="630948143"/>
        <c:scaling>
          <c:orientation val="minMax"/>
        </c:scaling>
        <c:delete val="1"/>
        <c:axPos val="b"/>
        <c:numFmt formatCode="0" sourceLinked="1"/>
        <c:majorTickMark val="none"/>
        <c:minorTickMark val="none"/>
        <c:tickLblPos val="nextTo"/>
        <c:crossAx val="76845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Reversed" id="21">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304800</xdr:colOff>
      <xdr:row>4</xdr:row>
      <xdr:rowOff>0</xdr:rowOff>
    </xdr:from>
    <xdr:to>
      <xdr:col>12</xdr:col>
      <xdr:colOff>0</xdr:colOff>
      <xdr:row>18</xdr:row>
      <xdr:rowOff>165100</xdr:rowOff>
    </xdr:to>
    <xdr:graphicFrame macro="">
      <xdr:nvGraphicFramePr>
        <xdr:cNvPr id="2" name="Chart 1">
          <a:extLst>
            <a:ext uri="{FF2B5EF4-FFF2-40B4-BE49-F238E27FC236}">
              <a16:creationId xmlns:a16="http://schemas.microsoft.com/office/drawing/2014/main" id="{CE9DBDF1-3295-1B86-3041-D9ECB2B97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285750</xdr:colOff>
      <xdr:row>19</xdr:row>
      <xdr:rowOff>25400</xdr:rowOff>
    </xdr:from>
    <xdr:to>
      <xdr:col>11</xdr:col>
      <xdr:colOff>590550</xdr:colOff>
      <xdr:row>34</xdr:row>
      <xdr:rowOff>6350</xdr:rowOff>
    </xdr:to>
    <xdr:graphicFrame macro="">
      <xdr:nvGraphicFramePr>
        <xdr:cNvPr id="3" name="Chart 2">
          <a:extLst>
            <a:ext uri="{FF2B5EF4-FFF2-40B4-BE49-F238E27FC236}">
              <a16:creationId xmlns:a16="http://schemas.microsoft.com/office/drawing/2014/main" id="{DB435002-92AB-D65F-5A2F-0B12D7AD5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488950</xdr:colOff>
      <xdr:row>37</xdr:row>
      <xdr:rowOff>57150</xdr:rowOff>
    </xdr:from>
    <xdr:to>
      <xdr:col>12</xdr:col>
      <xdr:colOff>184150</xdr:colOff>
      <xdr:row>52</xdr:row>
      <xdr:rowOff>38100</xdr:rowOff>
    </xdr:to>
    <xdr:graphicFrame macro="">
      <xdr:nvGraphicFramePr>
        <xdr:cNvPr id="4" name="Chart 3">
          <a:extLst>
            <a:ext uri="{FF2B5EF4-FFF2-40B4-BE49-F238E27FC236}">
              <a16:creationId xmlns:a16="http://schemas.microsoft.com/office/drawing/2014/main" id="{4D1FFF02-929B-C128-F35B-23F3147AA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3175</xdr:colOff>
      <xdr:row>55</xdr:row>
      <xdr:rowOff>57150</xdr:rowOff>
    </xdr:from>
    <xdr:to>
      <xdr:col>11</xdr:col>
      <xdr:colOff>307975</xdr:colOff>
      <xdr:row>70</xdr:row>
      <xdr:rowOff>38100</xdr:rowOff>
    </xdr:to>
    <xdr:graphicFrame macro="">
      <xdr:nvGraphicFramePr>
        <xdr:cNvPr id="5" name="Chart 4">
          <a:extLst>
            <a:ext uri="{FF2B5EF4-FFF2-40B4-BE49-F238E27FC236}">
              <a16:creationId xmlns:a16="http://schemas.microsoft.com/office/drawing/2014/main" id="{9E0240D3-E09D-E37F-5F62-201065B9F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523875</xdr:colOff>
      <xdr:row>74</xdr:row>
      <xdr:rowOff>171450</xdr:rowOff>
    </xdr:from>
    <xdr:to>
      <xdr:col>11</xdr:col>
      <xdr:colOff>219075</xdr:colOff>
      <xdr:row>89</xdr:row>
      <xdr:rowOff>152400</xdr:rowOff>
    </xdr:to>
    <xdr:graphicFrame macro="">
      <xdr:nvGraphicFramePr>
        <xdr:cNvPr id="6" name="Chart 5">
          <a:extLst>
            <a:ext uri="{FF2B5EF4-FFF2-40B4-BE49-F238E27FC236}">
              <a16:creationId xmlns:a16="http://schemas.microsoft.com/office/drawing/2014/main" id="{BBC07CC9-8B42-9F86-2515-B582D3518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519201</xdr:colOff>
      <xdr:row>90</xdr:row>
      <xdr:rowOff>160249</xdr:rowOff>
    </xdr:from>
    <xdr:to>
      <xdr:col>15</xdr:col>
      <xdr:colOff>278258</xdr:colOff>
      <xdr:row>105</xdr:row>
      <xdr:rowOff>141199</xdr:rowOff>
    </xdr:to>
    <xdr:graphicFrame macro="">
      <xdr:nvGraphicFramePr>
        <xdr:cNvPr id="7" name="Chart 6">
          <a:extLst>
            <a:ext uri="{FF2B5EF4-FFF2-40B4-BE49-F238E27FC236}">
              <a16:creationId xmlns:a16="http://schemas.microsoft.com/office/drawing/2014/main" id="{D38FA71C-5762-74F6-D8D2-09AAE23B1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596900</xdr:colOff>
      <xdr:row>0</xdr:row>
      <xdr:rowOff>12700</xdr:rowOff>
    </xdr:from>
    <xdr:to>
      <xdr:col>10</xdr:col>
      <xdr:colOff>579277</xdr:colOff>
      <xdr:row>4</xdr:row>
      <xdr:rowOff>95251</xdr:rowOff>
    </xdr:to>
    <mc:AlternateContent xmlns:mc="http://schemas.openxmlformats.org/markup-compatibility/2006" xmlns:a14="http://schemas.microsoft.com/office/drawing/2010/main">
      <mc:Choice Requires="a14">
        <xdr:graphicFrame macro="">
          <xdr:nvGraphicFramePr>
            <xdr:cNvPr id="8" name="GarmentType">
              <a:extLst>
                <a:ext uri="{FF2B5EF4-FFF2-40B4-BE49-F238E27FC236}">
                  <a16:creationId xmlns:a16="http://schemas.microsoft.com/office/drawing/2014/main" id="{0CFB3811-6F69-00A9-BFDF-89A33D9DE66A}"/>
                </a:ext>
              </a:extLst>
            </xdr:cNvPr>
            <xdr:cNvGraphicFramePr/>
          </xdr:nvGraphicFramePr>
          <xdr:xfrm>
            <a:off x="0" y="0"/>
            <a:ext cx="0" cy="0"/>
          </xdr:xfrm>
          <a:graphic>
            <a:graphicData uri="http://schemas.microsoft.com/office/drawing/2010/slicer">
              <sle:slicer xmlns:sle="http://schemas.microsoft.com/office/drawing/2010/slicer" name="GarmentType"/>
            </a:graphicData>
          </a:graphic>
        </xdr:graphicFrame>
      </mc:Choice>
      <mc:Fallback xmlns="">
        <xdr:sp macro="" textlink="">
          <xdr:nvSpPr>
            <xdr:cNvPr id="0" name=""/>
            <xdr:cNvSpPr>
              <a:spLocks noTextEdit="1"/>
            </xdr:cNvSpPr>
          </xdr:nvSpPr>
          <xdr:spPr>
            <a:xfrm>
              <a:off x="2894316" y="12700"/>
              <a:ext cx="5312096" cy="824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330130</xdr:colOff>
      <xdr:row>34</xdr:row>
      <xdr:rowOff>0</xdr:rowOff>
    </xdr:from>
    <xdr:to>
      <xdr:col>12</xdr:col>
      <xdr:colOff>0</xdr:colOff>
      <xdr:row>38</xdr:row>
      <xdr:rowOff>1</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E431B730-4DBE-04D3-1800-55104C250E3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234006" y="6307191"/>
              <a:ext cx="4521556" cy="742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151758</xdr:colOff>
      <xdr:row>52</xdr:row>
      <xdr:rowOff>114157</xdr:rowOff>
    </xdr:from>
    <xdr:to>
      <xdr:col>13</xdr:col>
      <xdr:colOff>605916</xdr:colOff>
      <xdr:row>58</xdr:row>
      <xdr:rowOff>64212</xdr:rowOff>
    </xdr:to>
    <mc:AlternateContent xmlns:mc="http://schemas.openxmlformats.org/markup-compatibility/2006" xmlns:a14="http://schemas.microsoft.com/office/drawing/2010/main">
      <mc:Choice Requires="a14">
        <xdr:graphicFrame macro="">
          <xdr:nvGraphicFramePr>
            <xdr:cNvPr id="12" name="Months (Date)">
              <a:extLst>
                <a:ext uri="{FF2B5EF4-FFF2-40B4-BE49-F238E27FC236}">
                  <a16:creationId xmlns:a16="http://schemas.microsoft.com/office/drawing/2014/main" id="{889906CE-0CA7-FEED-E97C-A1187BD29BE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6316252" y="9760449"/>
              <a:ext cx="2880000" cy="1063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343186</xdr:colOff>
      <xdr:row>109</xdr:row>
      <xdr:rowOff>37530</xdr:rowOff>
    </xdr:from>
    <xdr:to>
      <xdr:col>13</xdr:col>
      <xdr:colOff>63501</xdr:colOff>
      <xdr:row>123</xdr:row>
      <xdr:rowOff>183651</xdr:rowOff>
    </xdr:to>
    <xdr:graphicFrame macro="">
      <xdr:nvGraphicFramePr>
        <xdr:cNvPr id="10" name="Chart 9">
          <a:extLst>
            <a:ext uri="{FF2B5EF4-FFF2-40B4-BE49-F238E27FC236}">
              <a16:creationId xmlns:a16="http://schemas.microsoft.com/office/drawing/2014/main" id="{B9FC5674-D490-FEC2-6A0C-E10FC8D7B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375291</xdr:colOff>
      <xdr:row>125</xdr:row>
      <xdr:rowOff>16125</xdr:rowOff>
    </xdr:from>
    <xdr:to>
      <xdr:col>12</xdr:col>
      <xdr:colOff>95606</xdr:colOff>
      <xdr:row>139</xdr:row>
      <xdr:rowOff>162246</xdr:rowOff>
    </xdr:to>
    <xdr:graphicFrame macro="">
      <xdr:nvGraphicFramePr>
        <xdr:cNvPr id="11" name="Chart 10">
          <a:extLst>
            <a:ext uri="{FF2B5EF4-FFF2-40B4-BE49-F238E27FC236}">
              <a16:creationId xmlns:a16="http://schemas.microsoft.com/office/drawing/2014/main" id="{D6FEC8B5-370A-D531-DC57-CD99DBB56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154113</xdr:colOff>
      <xdr:row>140</xdr:row>
      <xdr:rowOff>158821</xdr:rowOff>
    </xdr:from>
    <xdr:to>
      <xdr:col>13</xdr:col>
      <xdr:colOff>480889</xdr:colOff>
      <xdr:row>155</xdr:row>
      <xdr:rowOff>119437</xdr:rowOff>
    </xdr:to>
    <xdr:graphicFrame macro="">
      <xdr:nvGraphicFramePr>
        <xdr:cNvPr id="17" name="Chart 16">
          <a:extLst>
            <a:ext uri="{FF2B5EF4-FFF2-40B4-BE49-F238E27FC236}">
              <a16:creationId xmlns:a16="http://schemas.microsoft.com/office/drawing/2014/main" id="{0CC3FA1A-2B14-01BD-2F2C-CA71298F2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389562</xdr:colOff>
      <xdr:row>160</xdr:row>
      <xdr:rowOff>23259</xdr:rowOff>
    </xdr:from>
    <xdr:to>
      <xdr:col>12</xdr:col>
      <xdr:colOff>109877</xdr:colOff>
      <xdr:row>174</xdr:row>
      <xdr:rowOff>169380</xdr:rowOff>
    </xdr:to>
    <xdr:graphicFrame macro="">
      <xdr:nvGraphicFramePr>
        <xdr:cNvPr id="18" name="Chart 17">
          <a:extLst>
            <a:ext uri="{FF2B5EF4-FFF2-40B4-BE49-F238E27FC236}">
              <a16:creationId xmlns:a16="http://schemas.microsoft.com/office/drawing/2014/main" id="{0D2D20FC-62B5-C117-605D-D50BD2DC3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432371</xdr:colOff>
      <xdr:row>173</xdr:row>
      <xdr:rowOff>158821</xdr:rowOff>
    </xdr:from>
    <xdr:to>
      <xdr:col>14</xdr:col>
      <xdr:colOff>152685</xdr:colOff>
      <xdr:row>188</xdr:row>
      <xdr:rowOff>119437</xdr:rowOff>
    </xdr:to>
    <xdr:graphicFrame macro="">
      <xdr:nvGraphicFramePr>
        <xdr:cNvPr id="19" name="Chart 18">
          <a:extLst>
            <a:ext uri="{FF2B5EF4-FFF2-40B4-BE49-F238E27FC236}">
              <a16:creationId xmlns:a16="http://schemas.microsoft.com/office/drawing/2014/main" id="{855ADCEC-6CAB-19FA-AF12-4E5FA15EA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36</xdr:col>
      <xdr:colOff>470901</xdr:colOff>
      <xdr:row>21</xdr:row>
      <xdr:rowOff>133539</xdr:rowOff>
    </xdr:from>
    <xdr:to>
      <xdr:col>53</xdr:col>
      <xdr:colOff>364042</xdr:colOff>
      <xdr:row>60</xdr:row>
      <xdr:rowOff>18093</xdr:rowOff>
    </xdr:to>
    <xdr:graphicFrame macro="">
      <xdr:nvGraphicFramePr>
        <xdr:cNvPr id="8" name="Chart 7">
          <a:extLst>
            <a:ext uri="{FF2B5EF4-FFF2-40B4-BE49-F238E27FC236}">
              <a16:creationId xmlns:a16="http://schemas.microsoft.com/office/drawing/2014/main" id="{E3435757-59A7-45AE-8318-81FAE8C92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196736</xdr:colOff>
      <xdr:row>21</xdr:row>
      <xdr:rowOff>134039</xdr:rowOff>
    </xdr:from>
    <xdr:to>
      <xdr:col>36</xdr:col>
      <xdr:colOff>89876</xdr:colOff>
      <xdr:row>60</xdr:row>
      <xdr:rowOff>18593</xdr:rowOff>
    </xdr:to>
    <xdr:graphicFrame macro="">
      <xdr:nvGraphicFramePr>
        <xdr:cNvPr id="9" name="Chart 8">
          <a:extLst>
            <a:ext uri="{FF2B5EF4-FFF2-40B4-BE49-F238E27FC236}">
              <a16:creationId xmlns:a16="http://schemas.microsoft.com/office/drawing/2014/main" id="{F2FACA9D-A0CA-4268-AFA8-FF3FB1045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124615</xdr:colOff>
      <xdr:row>21</xdr:row>
      <xdr:rowOff>134539</xdr:rowOff>
    </xdr:from>
    <xdr:to>
      <xdr:col>18</xdr:col>
      <xdr:colOff>421847</xdr:colOff>
      <xdr:row>60</xdr:row>
      <xdr:rowOff>17593</xdr:rowOff>
    </xdr:to>
    <xdr:graphicFrame macro="">
      <xdr:nvGraphicFramePr>
        <xdr:cNvPr id="10" name="Chart 9">
          <a:extLst>
            <a:ext uri="{FF2B5EF4-FFF2-40B4-BE49-F238E27FC236}">
              <a16:creationId xmlns:a16="http://schemas.microsoft.com/office/drawing/2014/main" id="{F77D1A58-F53A-42B9-B974-DE4079D68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54</xdr:col>
      <xdr:colOff>138930</xdr:colOff>
      <xdr:row>21</xdr:row>
      <xdr:rowOff>133039</xdr:rowOff>
    </xdr:from>
    <xdr:to>
      <xdr:col>71</xdr:col>
      <xdr:colOff>32071</xdr:colOff>
      <xdr:row>60</xdr:row>
      <xdr:rowOff>17593</xdr:rowOff>
    </xdr:to>
    <xdr:graphicFrame macro="">
      <xdr:nvGraphicFramePr>
        <xdr:cNvPr id="6" name="Chart 5">
          <a:extLst>
            <a:ext uri="{FF2B5EF4-FFF2-40B4-BE49-F238E27FC236}">
              <a16:creationId xmlns:a16="http://schemas.microsoft.com/office/drawing/2014/main" id="{0DD434F9-C62D-4E29-A048-440BF69D9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95249</xdr:colOff>
      <xdr:row>10</xdr:row>
      <xdr:rowOff>162061</xdr:rowOff>
    </xdr:from>
    <xdr:to>
      <xdr:col>12</xdr:col>
      <xdr:colOff>505775</xdr:colOff>
      <xdr:row>21</xdr:row>
      <xdr:rowOff>37328</xdr:rowOff>
    </xdr:to>
    <xdr:grpSp>
      <xdr:nvGrpSpPr>
        <xdr:cNvPr id="19" name="Group 18">
          <a:extLst>
            <a:ext uri="{FF2B5EF4-FFF2-40B4-BE49-F238E27FC236}">
              <a16:creationId xmlns:a16="http://schemas.microsoft.com/office/drawing/2014/main" id="{51140C77-E049-CDFA-202C-B11B5B7E8AB9}"/>
            </a:ext>
          </a:extLst>
        </xdr:cNvPr>
        <xdr:cNvGrpSpPr/>
      </xdr:nvGrpSpPr>
      <xdr:grpSpPr>
        <a:xfrm>
          <a:off x="1324281" y="2005609"/>
          <a:ext cx="6740042" cy="1903171"/>
          <a:chOff x="4565952" y="1723572"/>
          <a:chExt cx="3915833" cy="1874762"/>
        </a:xfrm>
      </xdr:grpSpPr>
      <xdr:sp macro="" textlink="">
        <xdr:nvSpPr>
          <xdr:cNvPr id="16" name="Rectangle: Rounded Corners 15">
            <a:extLst>
              <a:ext uri="{FF2B5EF4-FFF2-40B4-BE49-F238E27FC236}">
                <a16:creationId xmlns:a16="http://schemas.microsoft.com/office/drawing/2014/main" id="{2CA82A54-A878-67DF-565F-54EBD05B64A9}"/>
              </a:ext>
            </a:extLst>
          </xdr:cNvPr>
          <xdr:cNvSpPr/>
        </xdr:nvSpPr>
        <xdr:spPr>
          <a:xfrm>
            <a:off x="4565952" y="1723572"/>
            <a:ext cx="3915833" cy="187476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rgbClr val="002060"/>
                </a:solidFill>
              </a:rPr>
              <a:t>Total Orders</a:t>
            </a:r>
          </a:p>
        </xdr:txBody>
      </xdr:sp>
      <xdr:sp macro="" textlink="'Pivot tables'!C11">
        <xdr:nvSpPr>
          <xdr:cNvPr id="18" name="TextBox 17">
            <a:extLst>
              <a:ext uri="{FF2B5EF4-FFF2-40B4-BE49-F238E27FC236}">
                <a16:creationId xmlns:a16="http://schemas.microsoft.com/office/drawing/2014/main" id="{956D9B6E-23FA-0635-AAA6-1560C47141C9}"/>
              </a:ext>
            </a:extLst>
          </xdr:cNvPr>
          <xdr:cNvSpPr txBox="1"/>
        </xdr:nvSpPr>
        <xdr:spPr>
          <a:xfrm>
            <a:off x="4883452" y="2585358"/>
            <a:ext cx="3295953" cy="80131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05CEC2-C59F-42ED-8028-4B6451CF0933}" type="TxLink">
              <a:rPr lang="en-US" sz="4800" b="1" i="0" u="none" strike="noStrike">
                <a:solidFill>
                  <a:srgbClr val="002060"/>
                </a:solidFill>
                <a:latin typeface="Calibri"/>
                <a:ea typeface="Calibri"/>
                <a:cs typeface="Calibri"/>
              </a:rPr>
              <a:pPr algn="ctr"/>
              <a:t>1,000</a:t>
            </a:fld>
            <a:endParaRPr lang="en-IN" sz="4800" b="1">
              <a:solidFill>
                <a:srgbClr val="002060"/>
              </a:solidFill>
            </a:endParaRPr>
          </a:p>
        </xdr:txBody>
      </xdr:sp>
    </xdr:grpSp>
    <xdr:clientData/>
  </xdr:twoCellAnchor>
  <xdr:twoCellAnchor>
    <xdr:from>
      <xdr:col>13</xdr:col>
      <xdr:colOff>290729</xdr:colOff>
      <xdr:row>10</xdr:row>
      <xdr:rowOff>168206</xdr:rowOff>
    </xdr:from>
    <xdr:to>
      <xdr:col>24</xdr:col>
      <xdr:colOff>288505</xdr:colOff>
      <xdr:row>21</xdr:row>
      <xdr:rowOff>37328</xdr:rowOff>
    </xdr:to>
    <xdr:grpSp>
      <xdr:nvGrpSpPr>
        <xdr:cNvPr id="32" name="Group 31">
          <a:extLst>
            <a:ext uri="{FF2B5EF4-FFF2-40B4-BE49-F238E27FC236}">
              <a16:creationId xmlns:a16="http://schemas.microsoft.com/office/drawing/2014/main" id="{CFAE13FA-8E9F-1E69-DB39-FC5764C4CE27}"/>
            </a:ext>
          </a:extLst>
        </xdr:cNvPr>
        <xdr:cNvGrpSpPr/>
      </xdr:nvGrpSpPr>
      <xdr:grpSpPr>
        <a:xfrm>
          <a:off x="8463794" y="2011754"/>
          <a:ext cx="6757453" cy="1897026"/>
          <a:chOff x="4565952" y="1723572"/>
          <a:chExt cx="3915833" cy="1874762"/>
        </a:xfrm>
      </xdr:grpSpPr>
      <xdr:sp macro="" textlink="">
        <xdr:nvSpPr>
          <xdr:cNvPr id="33" name="Rectangle: Rounded Corners 32">
            <a:extLst>
              <a:ext uri="{FF2B5EF4-FFF2-40B4-BE49-F238E27FC236}">
                <a16:creationId xmlns:a16="http://schemas.microsoft.com/office/drawing/2014/main" id="{6968B9AA-B918-F344-7E1E-DC2037C7F94E}"/>
              </a:ext>
            </a:extLst>
          </xdr:cNvPr>
          <xdr:cNvSpPr/>
        </xdr:nvSpPr>
        <xdr:spPr>
          <a:xfrm>
            <a:off x="4565952" y="1723572"/>
            <a:ext cx="3915833" cy="187476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rgbClr val="002060"/>
                </a:solidFill>
              </a:rPr>
              <a:t>Total Cost (₹)</a:t>
            </a:r>
          </a:p>
        </xdr:txBody>
      </xdr:sp>
      <xdr:sp macro="" textlink="'Pivot tables'!C30">
        <xdr:nvSpPr>
          <xdr:cNvPr id="34" name="TextBox 33">
            <a:extLst>
              <a:ext uri="{FF2B5EF4-FFF2-40B4-BE49-F238E27FC236}">
                <a16:creationId xmlns:a16="http://schemas.microsoft.com/office/drawing/2014/main" id="{BB629F31-952E-9420-7402-89E6ED676180}"/>
              </a:ext>
            </a:extLst>
          </xdr:cNvPr>
          <xdr:cNvSpPr txBox="1"/>
        </xdr:nvSpPr>
        <xdr:spPr>
          <a:xfrm>
            <a:off x="4883452" y="2585358"/>
            <a:ext cx="3295953" cy="80131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C03F83-1610-4BB6-98C2-BBF1DBC51B66}" type="TxLink">
              <a:rPr lang="en-US" sz="4800" b="1" i="0" u="none" strike="noStrike">
                <a:solidFill>
                  <a:srgbClr val="002060"/>
                </a:solidFill>
                <a:latin typeface="Calibri"/>
                <a:ea typeface="Calibri"/>
                <a:cs typeface="Calibri"/>
              </a:rPr>
              <a:pPr algn="ctr"/>
              <a:t>₹ 2,69,603</a:t>
            </a:fld>
            <a:endParaRPr lang="en-IN" sz="4800" b="1">
              <a:solidFill>
                <a:srgbClr val="002060"/>
              </a:solidFill>
            </a:endParaRPr>
          </a:p>
        </xdr:txBody>
      </xdr:sp>
    </xdr:grpSp>
    <xdr:clientData/>
  </xdr:twoCellAnchor>
  <xdr:twoCellAnchor>
    <xdr:from>
      <xdr:col>25</xdr:col>
      <xdr:colOff>73459</xdr:colOff>
      <xdr:row>10</xdr:row>
      <xdr:rowOff>168206</xdr:rowOff>
    </xdr:from>
    <xdr:to>
      <xdr:col>36</xdr:col>
      <xdr:colOff>71235</xdr:colOff>
      <xdr:row>21</xdr:row>
      <xdr:rowOff>37328</xdr:rowOff>
    </xdr:to>
    <xdr:grpSp>
      <xdr:nvGrpSpPr>
        <xdr:cNvPr id="35" name="Group 34">
          <a:extLst>
            <a:ext uri="{FF2B5EF4-FFF2-40B4-BE49-F238E27FC236}">
              <a16:creationId xmlns:a16="http://schemas.microsoft.com/office/drawing/2014/main" id="{4F26E1E1-3BC1-86FF-DE1E-EFF36D64F946}"/>
            </a:ext>
          </a:extLst>
        </xdr:cNvPr>
        <xdr:cNvGrpSpPr/>
      </xdr:nvGrpSpPr>
      <xdr:grpSpPr>
        <a:xfrm>
          <a:off x="15620717" y="2011754"/>
          <a:ext cx="6757453" cy="1897026"/>
          <a:chOff x="4565952" y="1723572"/>
          <a:chExt cx="3915833" cy="1874762"/>
        </a:xfrm>
      </xdr:grpSpPr>
      <xdr:sp macro="" textlink="">
        <xdr:nvSpPr>
          <xdr:cNvPr id="36" name="Rectangle: Rounded Corners 35">
            <a:extLst>
              <a:ext uri="{FF2B5EF4-FFF2-40B4-BE49-F238E27FC236}">
                <a16:creationId xmlns:a16="http://schemas.microsoft.com/office/drawing/2014/main" id="{94BC02D7-6236-C2E2-75E7-463EA508A2E6}"/>
              </a:ext>
            </a:extLst>
          </xdr:cNvPr>
          <xdr:cNvSpPr/>
        </xdr:nvSpPr>
        <xdr:spPr>
          <a:xfrm>
            <a:off x="4565952" y="1723572"/>
            <a:ext cx="3915833" cy="187476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rgbClr val="002060"/>
                </a:solidFill>
              </a:rPr>
              <a:t>Average</a:t>
            </a:r>
            <a:r>
              <a:rPr lang="en-IN" sz="4000" b="1" baseline="0">
                <a:solidFill>
                  <a:srgbClr val="002060"/>
                </a:solidFill>
              </a:rPr>
              <a:t> Cost per Order (₹)</a:t>
            </a:r>
            <a:endParaRPr lang="en-IN" sz="4000" b="1">
              <a:solidFill>
                <a:srgbClr val="002060"/>
              </a:solidFill>
            </a:endParaRPr>
          </a:p>
        </xdr:txBody>
      </xdr:sp>
      <xdr:sp macro="" textlink="'Pivot tables'!C102">
        <xdr:nvSpPr>
          <xdr:cNvPr id="37" name="TextBox 36">
            <a:extLst>
              <a:ext uri="{FF2B5EF4-FFF2-40B4-BE49-F238E27FC236}">
                <a16:creationId xmlns:a16="http://schemas.microsoft.com/office/drawing/2014/main" id="{5CE5BA45-563E-4629-3551-451610B362A9}"/>
              </a:ext>
            </a:extLst>
          </xdr:cNvPr>
          <xdr:cNvSpPr txBox="1"/>
        </xdr:nvSpPr>
        <xdr:spPr>
          <a:xfrm>
            <a:off x="4883452" y="2585358"/>
            <a:ext cx="3295953" cy="80131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AC733-03D3-4C94-95FD-FC6FD3EAD923}" type="TxLink">
              <a:rPr lang="en-US" sz="4800" b="1" i="0" u="none" strike="noStrike">
                <a:solidFill>
                  <a:srgbClr val="002060"/>
                </a:solidFill>
                <a:latin typeface="Calibri"/>
                <a:ea typeface="Calibri"/>
                <a:cs typeface="Calibri"/>
              </a:rPr>
              <a:pPr algn="ctr"/>
              <a:t>₹ 269.6</a:t>
            </a:fld>
            <a:endParaRPr lang="en-IN" sz="4800" b="1" i="0" u="none" strike="noStrike">
              <a:solidFill>
                <a:srgbClr val="002060"/>
              </a:solidFill>
              <a:latin typeface="Calibri"/>
              <a:ea typeface="Calibri"/>
              <a:cs typeface="Calibri"/>
            </a:endParaRPr>
          </a:p>
        </xdr:txBody>
      </xdr:sp>
    </xdr:grpSp>
    <xdr:clientData/>
  </xdr:twoCellAnchor>
  <xdr:twoCellAnchor>
    <xdr:from>
      <xdr:col>36</xdr:col>
      <xdr:colOff>459439</xdr:colOff>
      <xdr:row>10</xdr:row>
      <xdr:rowOff>168206</xdr:rowOff>
    </xdr:from>
    <xdr:to>
      <xdr:col>47</xdr:col>
      <xdr:colOff>457214</xdr:colOff>
      <xdr:row>21</xdr:row>
      <xdr:rowOff>37328</xdr:rowOff>
    </xdr:to>
    <xdr:grpSp>
      <xdr:nvGrpSpPr>
        <xdr:cNvPr id="41" name="Group 40">
          <a:extLst>
            <a:ext uri="{FF2B5EF4-FFF2-40B4-BE49-F238E27FC236}">
              <a16:creationId xmlns:a16="http://schemas.microsoft.com/office/drawing/2014/main" id="{C77A9CBE-0098-374A-F68E-E9D08AA149A6}"/>
            </a:ext>
          </a:extLst>
        </xdr:cNvPr>
        <xdr:cNvGrpSpPr/>
      </xdr:nvGrpSpPr>
      <xdr:grpSpPr>
        <a:xfrm>
          <a:off x="22766374" y="2011754"/>
          <a:ext cx="6757453" cy="1897026"/>
          <a:chOff x="4565952" y="1723572"/>
          <a:chExt cx="3915833" cy="1874762"/>
        </a:xfrm>
      </xdr:grpSpPr>
      <xdr:sp macro="" textlink="">
        <xdr:nvSpPr>
          <xdr:cNvPr id="42" name="Rectangle: Rounded Corners 41">
            <a:extLst>
              <a:ext uri="{FF2B5EF4-FFF2-40B4-BE49-F238E27FC236}">
                <a16:creationId xmlns:a16="http://schemas.microsoft.com/office/drawing/2014/main" id="{B6FEA001-3573-4EB2-30F9-ACD919CF303A}"/>
              </a:ext>
            </a:extLst>
          </xdr:cNvPr>
          <xdr:cNvSpPr/>
        </xdr:nvSpPr>
        <xdr:spPr>
          <a:xfrm>
            <a:off x="4565952" y="1723572"/>
            <a:ext cx="3915833" cy="187476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rgbClr val="002060"/>
                </a:solidFill>
              </a:rPr>
              <a:t>Highest Cost Garment Type</a:t>
            </a:r>
          </a:p>
        </xdr:txBody>
      </xdr:sp>
      <xdr:sp macro="" textlink="'Pivot tables'!B23">
        <xdr:nvSpPr>
          <xdr:cNvPr id="43" name="TextBox 42">
            <a:extLst>
              <a:ext uri="{FF2B5EF4-FFF2-40B4-BE49-F238E27FC236}">
                <a16:creationId xmlns:a16="http://schemas.microsoft.com/office/drawing/2014/main" id="{1B145526-CF4A-33CE-A385-CF80F438358B}"/>
              </a:ext>
            </a:extLst>
          </xdr:cNvPr>
          <xdr:cNvSpPr txBox="1"/>
        </xdr:nvSpPr>
        <xdr:spPr>
          <a:xfrm>
            <a:off x="4883452" y="2585358"/>
            <a:ext cx="3295953" cy="80131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8C33F1-C1F2-42FA-8A92-782FB76E5C6A}" type="TxLink">
              <a:rPr lang="en-US" sz="4800" b="1" i="0" u="none" strike="noStrike">
                <a:solidFill>
                  <a:srgbClr val="002060"/>
                </a:solidFill>
                <a:latin typeface="Calibri"/>
                <a:ea typeface="Calibri"/>
                <a:cs typeface="Calibri"/>
              </a:rPr>
              <a:pPr algn="ctr"/>
              <a:t>Jacket</a:t>
            </a:fld>
            <a:endParaRPr lang="en-IN" sz="4800" b="1" i="0" u="none" strike="noStrike">
              <a:solidFill>
                <a:srgbClr val="002060"/>
              </a:solidFill>
              <a:latin typeface="Calibri"/>
              <a:ea typeface="Calibri"/>
              <a:cs typeface="Calibri"/>
            </a:endParaRPr>
          </a:p>
        </xdr:txBody>
      </xdr:sp>
    </xdr:grpSp>
    <xdr:clientData/>
  </xdr:twoCellAnchor>
  <xdr:twoCellAnchor>
    <xdr:from>
      <xdr:col>24</xdr:col>
      <xdr:colOff>528957</xdr:colOff>
      <xdr:row>60</xdr:row>
      <xdr:rowOff>116191</xdr:rowOff>
    </xdr:from>
    <xdr:to>
      <xdr:col>47</xdr:col>
      <xdr:colOff>554200</xdr:colOff>
      <xdr:row>69</xdr:row>
      <xdr:rowOff>138197</xdr:rowOff>
    </xdr:to>
    <mc:AlternateContent xmlns:mc="http://schemas.openxmlformats.org/markup-compatibility/2006" xmlns:a14="http://schemas.microsoft.com/office/drawing/2010/main">
      <mc:Choice Requires="a14">
        <xdr:graphicFrame macro="">
          <xdr:nvGraphicFramePr>
            <xdr:cNvPr id="2" name="GarmentType 1">
              <a:extLst>
                <a:ext uri="{FF2B5EF4-FFF2-40B4-BE49-F238E27FC236}">
                  <a16:creationId xmlns:a16="http://schemas.microsoft.com/office/drawing/2014/main" id="{BD18996F-8898-44FE-9083-3AF82F0D0D38}"/>
                </a:ext>
              </a:extLst>
            </xdr:cNvPr>
            <xdr:cNvGraphicFramePr/>
          </xdr:nvGraphicFramePr>
          <xdr:xfrm>
            <a:off x="0" y="0"/>
            <a:ext cx="0" cy="0"/>
          </xdr:xfrm>
          <a:graphic>
            <a:graphicData uri="http://schemas.microsoft.com/office/drawing/2010/slicer">
              <sle:slicer xmlns:sle="http://schemas.microsoft.com/office/drawing/2010/slicer" name="GarmentType 1"/>
            </a:graphicData>
          </a:graphic>
        </xdr:graphicFrame>
      </mc:Choice>
      <mc:Fallback xmlns="">
        <xdr:sp macro="" textlink="">
          <xdr:nvSpPr>
            <xdr:cNvPr id="0" name=""/>
            <xdr:cNvSpPr>
              <a:spLocks noTextEdit="1"/>
            </xdr:cNvSpPr>
          </xdr:nvSpPr>
          <xdr:spPr>
            <a:xfrm>
              <a:off x="14964624" y="10276191"/>
              <a:ext cx="13656576" cy="1546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62622</xdr:colOff>
      <xdr:row>60</xdr:row>
      <xdr:rowOff>116191</xdr:rowOff>
    </xdr:from>
    <xdr:to>
      <xdr:col>24</xdr:col>
      <xdr:colOff>475919</xdr:colOff>
      <xdr:row>69</xdr:row>
      <xdr:rowOff>138197</xdr:rowOff>
    </xdr:to>
    <mc:AlternateContent xmlns:mc="http://schemas.openxmlformats.org/markup-compatibility/2006" xmlns:a14="http://schemas.microsoft.com/office/drawing/2010/main">
      <mc:Choice Requires="a14">
        <xdr:graphicFrame macro="">
          <xdr:nvGraphicFramePr>
            <xdr:cNvPr id="5" name="Status 1">
              <a:extLst>
                <a:ext uri="{FF2B5EF4-FFF2-40B4-BE49-F238E27FC236}">
                  <a16:creationId xmlns:a16="http://schemas.microsoft.com/office/drawing/2014/main" id="{CA6BE2CB-DEFD-4967-8CAC-BD4367CD569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247955" y="10276191"/>
              <a:ext cx="13663631" cy="1546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48</xdr:col>
      <xdr:colOff>10036</xdr:colOff>
      <xdr:row>60</xdr:row>
      <xdr:rowOff>106111</xdr:rowOff>
    </xdr:from>
    <xdr:to>
      <xdr:col>71</xdr:col>
      <xdr:colOff>35278</xdr:colOff>
      <xdr:row>69</xdr:row>
      <xdr:rowOff>128117</xdr:rowOff>
    </xdr:to>
    <mc:AlternateContent xmlns:mc="http://schemas.openxmlformats.org/markup-compatibility/2006" xmlns:a14="http://schemas.microsoft.com/office/drawing/2010/main">
      <mc:Choice Requires="a14">
        <xdr:graphicFrame macro="">
          <xdr:nvGraphicFramePr>
            <xdr:cNvPr id="7" name="Months (Date) 1">
              <a:extLst>
                <a:ext uri="{FF2B5EF4-FFF2-40B4-BE49-F238E27FC236}">
                  <a16:creationId xmlns:a16="http://schemas.microsoft.com/office/drawing/2014/main" id="{6B169A1E-D3F4-4B7B-85D0-73DDCF3C170A}"/>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28669703" y="10266111"/>
              <a:ext cx="13656575" cy="1546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48</xdr:col>
      <xdr:colOff>13370</xdr:colOff>
      <xdr:row>70</xdr:row>
      <xdr:rowOff>9988</xdr:rowOff>
    </xdr:from>
    <xdr:to>
      <xdr:col>70</xdr:col>
      <xdr:colOff>267503</xdr:colOff>
      <xdr:row>116</xdr:row>
      <xdr:rowOff>171902</xdr:rowOff>
    </xdr:to>
    <xdr:graphicFrame macro="">
      <xdr:nvGraphicFramePr>
        <xdr:cNvPr id="4" name="Chart 3">
          <a:extLst>
            <a:ext uri="{FF2B5EF4-FFF2-40B4-BE49-F238E27FC236}">
              <a16:creationId xmlns:a16="http://schemas.microsoft.com/office/drawing/2014/main" id="{CF198E34-BCF6-4CF2-A1FD-2E122BFFF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374143</xdr:colOff>
      <xdr:row>117</xdr:row>
      <xdr:rowOff>125443</xdr:rowOff>
    </xdr:from>
    <xdr:to>
      <xdr:col>24</xdr:col>
      <xdr:colOff>456535</xdr:colOff>
      <xdr:row>156</xdr:row>
      <xdr:rowOff>1244</xdr:rowOff>
    </xdr:to>
    <xdr:graphicFrame macro="">
      <xdr:nvGraphicFramePr>
        <xdr:cNvPr id="13" name="Chart 12">
          <a:extLst>
            <a:ext uri="{FF2B5EF4-FFF2-40B4-BE49-F238E27FC236}">
              <a16:creationId xmlns:a16="http://schemas.microsoft.com/office/drawing/2014/main" id="{DCEE5838-CFEB-4E29-9C53-7D81A4E23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108814</xdr:colOff>
      <xdr:row>70</xdr:row>
      <xdr:rowOff>9988</xdr:rowOff>
    </xdr:from>
    <xdr:to>
      <xdr:col>47</xdr:col>
      <xdr:colOff>361091</xdr:colOff>
      <xdr:row>116</xdr:row>
      <xdr:rowOff>160951</xdr:rowOff>
    </xdr:to>
    <xdr:graphicFrame macro="">
      <xdr:nvGraphicFramePr>
        <xdr:cNvPr id="14" name="Chart 13">
          <a:extLst>
            <a:ext uri="{FF2B5EF4-FFF2-40B4-BE49-F238E27FC236}">
              <a16:creationId xmlns:a16="http://schemas.microsoft.com/office/drawing/2014/main" id="{76D5A476-B873-445D-B220-40570DC13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375227</xdr:colOff>
      <xdr:row>156</xdr:row>
      <xdr:rowOff>71629</xdr:rowOff>
    </xdr:from>
    <xdr:to>
      <xdr:col>24</xdr:col>
      <xdr:colOff>457574</xdr:colOff>
      <xdr:row>165</xdr:row>
      <xdr:rowOff>92797</xdr:rowOff>
    </xdr:to>
    <mc:AlternateContent xmlns:mc="http://schemas.openxmlformats.org/markup-compatibility/2006" xmlns:a14="http://schemas.microsoft.com/office/drawing/2010/main">
      <mc:Choice Requires="a14">
        <xdr:graphicFrame macro="">
          <xdr:nvGraphicFramePr>
            <xdr:cNvPr id="51" name="Material">
              <a:extLst>
                <a:ext uri="{FF2B5EF4-FFF2-40B4-BE49-F238E27FC236}">
                  <a16:creationId xmlns:a16="http://schemas.microsoft.com/office/drawing/2014/main" id="{842416D9-A4A8-4776-88D9-AFB69D3D042F}"/>
                </a:ext>
              </a:extLst>
            </xdr:cNvPr>
            <xdr:cNvGraphicFramePr/>
          </xdr:nvGraphicFramePr>
          <xdr:xfrm>
            <a:off x="0" y="0"/>
            <a:ext cx="0" cy="0"/>
          </xdr:xfrm>
          <a:graphic>
            <a:graphicData uri="http://schemas.microsoft.com/office/drawing/2010/slicer">
              <sle:slicer xmlns:sle="http://schemas.microsoft.com/office/drawing/2010/slicer" name="Material"/>
            </a:graphicData>
          </a:graphic>
        </xdr:graphicFrame>
      </mc:Choice>
      <mc:Fallback xmlns="">
        <xdr:sp macro="" textlink="">
          <xdr:nvSpPr>
            <xdr:cNvPr id="0" name=""/>
            <xdr:cNvSpPr>
              <a:spLocks noTextEdit="1"/>
            </xdr:cNvSpPr>
          </xdr:nvSpPr>
          <xdr:spPr>
            <a:xfrm>
              <a:off x="1560560" y="26487629"/>
              <a:ext cx="13332681" cy="1545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60</xdr:col>
      <xdr:colOff>24899</xdr:colOff>
      <xdr:row>10</xdr:row>
      <xdr:rowOff>168206</xdr:rowOff>
    </xdr:from>
    <xdr:to>
      <xdr:col>71</xdr:col>
      <xdr:colOff>22675</xdr:colOff>
      <xdr:row>21</xdr:row>
      <xdr:rowOff>37328</xdr:rowOff>
    </xdr:to>
    <xdr:grpSp>
      <xdr:nvGrpSpPr>
        <xdr:cNvPr id="52" name="Group 51">
          <a:extLst>
            <a:ext uri="{FF2B5EF4-FFF2-40B4-BE49-F238E27FC236}">
              <a16:creationId xmlns:a16="http://schemas.microsoft.com/office/drawing/2014/main" id="{663C86C9-9BBD-7C7D-54EC-8646617D3F09}"/>
            </a:ext>
          </a:extLst>
        </xdr:cNvPr>
        <xdr:cNvGrpSpPr/>
      </xdr:nvGrpSpPr>
      <xdr:grpSpPr>
        <a:xfrm>
          <a:off x="37080222" y="2011754"/>
          <a:ext cx="6757453" cy="1897026"/>
          <a:chOff x="4565952" y="1723572"/>
          <a:chExt cx="3915833" cy="1874762"/>
        </a:xfrm>
      </xdr:grpSpPr>
      <xdr:sp macro="" textlink="">
        <xdr:nvSpPr>
          <xdr:cNvPr id="53" name="Rectangle: Rounded Corners 52">
            <a:extLst>
              <a:ext uri="{FF2B5EF4-FFF2-40B4-BE49-F238E27FC236}">
                <a16:creationId xmlns:a16="http://schemas.microsoft.com/office/drawing/2014/main" id="{5961BECA-ADFB-FA63-14E8-5B41037D062A}"/>
              </a:ext>
            </a:extLst>
          </xdr:cNvPr>
          <xdr:cNvSpPr/>
        </xdr:nvSpPr>
        <xdr:spPr>
          <a:xfrm>
            <a:off x="4565952" y="1723572"/>
            <a:ext cx="3915833" cy="187476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rgbClr val="002060"/>
                </a:solidFill>
              </a:rPr>
              <a:t>Average Processing Time</a:t>
            </a:r>
          </a:p>
        </xdr:txBody>
      </xdr:sp>
      <xdr:sp macro="" textlink="'Pivot tables'!C149">
        <xdr:nvSpPr>
          <xdr:cNvPr id="54" name="TextBox 53">
            <a:extLst>
              <a:ext uri="{FF2B5EF4-FFF2-40B4-BE49-F238E27FC236}">
                <a16:creationId xmlns:a16="http://schemas.microsoft.com/office/drawing/2014/main" id="{F58A5971-0A59-0F93-B90D-414ACB73094A}"/>
              </a:ext>
            </a:extLst>
          </xdr:cNvPr>
          <xdr:cNvSpPr txBox="1"/>
        </xdr:nvSpPr>
        <xdr:spPr>
          <a:xfrm>
            <a:off x="4883452" y="2585358"/>
            <a:ext cx="3295953" cy="80131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011801-339B-49CE-BBDF-F9E3855A41DE}" type="TxLink">
              <a:rPr lang="en-US" sz="4800" b="1" i="0" u="none" strike="noStrike">
                <a:solidFill>
                  <a:srgbClr val="002060"/>
                </a:solidFill>
                <a:latin typeface="Calibri"/>
                <a:ea typeface="Calibri"/>
                <a:cs typeface="Calibri"/>
              </a:rPr>
              <a:pPr algn="ctr"/>
              <a:t>75 Days </a:t>
            </a:fld>
            <a:endParaRPr lang="en-IN" sz="4800" b="1" i="0" u="none" strike="noStrike">
              <a:solidFill>
                <a:srgbClr val="002060"/>
              </a:solidFill>
              <a:latin typeface="Calibri"/>
              <a:ea typeface="Calibri"/>
              <a:cs typeface="Calibri"/>
            </a:endParaRPr>
          </a:p>
        </xdr:txBody>
      </xdr:sp>
    </xdr:grpSp>
    <xdr:clientData/>
  </xdr:twoCellAnchor>
  <xdr:twoCellAnchor>
    <xdr:from>
      <xdr:col>48</xdr:col>
      <xdr:colOff>242168</xdr:colOff>
      <xdr:row>10</xdr:row>
      <xdr:rowOff>168206</xdr:rowOff>
    </xdr:from>
    <xdr:to>
      <xdr:col>59</xdr:col>
      <xdr:colOff>239945</xdr:colOff>
      <xdr:row>21</xdr:row>
      <xdr:rowOff>37328</xdr:rowOff>
    </xdr:to>
    <xdr:grpSp>
      <xdr:nvGrpSpPr>
        <xdr:cNvPr id="55" name="Group 54">
          <a:extLst>
            <a:ext uri="{FF2B5EF4-FFF2-40B4-BE49-F238E27FC236}">
              <a16:creationId xmlns:a16="http://schemas.microsoft.com/office/drawing/2014/main" id="{9CF3C029-4518-485F-A420-A14C2045ED20}"/>
            </a:ext>
          </a:extLst>
        </xdr:cNvPr>
        <xdr:cNvGrpSpPr/>
      </xdr:nvGrpSpPr>
      <xdr:grpSpPr>
        <a:xfrm>
          <a:off x="29923297" y="2011754"/>
          <a:ext cx="6757454" cy="1897026"/>
          <a:chOff x="4565952" y="1723572"/>
          <a:chExt cx="3915833" cy="1874762"/>
        </a:xfrm>
      </xdr:grpSpPr>
      <xdr:sp macro="" textlink="">
        <xdr:nvSpPr>
          <xdr:cNvPr id="56" name="Rectangle: Rounded Corners 55">
            <a:extLst>
              <a:ext uri="{FF2B5EF4-FFF2-40B4-BE49-F238E27FC236}">
                <a16:creationId xmlns:a16="http://schemas.microsoft.com/office/drawing/2014/main" id="{0D5422C8-DB03-4B84-2ED7-2515B1049571}"/>
              </a:ext>
            </a:extLst>
          </xdr:cNvPr>
          <xdr:cNvSpPr/>
        </xdr:nvSpPr>
        <xdr:spPr>
          <a:xfrm>
            <a:off x="4565952" y="1723572"/>
            <a:ext cx="3915833" cy="187476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rgbClr val="002060"/>
                </a:solidFill>
              </a:rPr>
              <a:t>Most Ordered Garment Type</a:t>
            </a:r>
          </a:p>
        </xdr:txBody>
      </xdr:sp>
      <xdr:sp macro="" textlink="'Pivot tables'!B4">
        <xdr:nvSpPr>
          <xdr:cNvPr id="57" name="TextBox 56">
            <a:extLst>
              <a:ext uri="{FF2B5EF4-FFF2-40B4-BE49-F238E27FC236}">
                <a16:creationId xmlns:a16="http://schemas.microsoft.com/office/drawing/2014/main" id="{EC3C8C03-F0C2-6249-4B24-1B36D89B43BC}"/>
              </a:ext>
            </a:extLst>
          </xdr:cNvPr>
          <xdr:cNvSpPr txBox="1"/>
        </xdr:nvSpPr>
        <xdr:spPr>
          <a:xfrm>
            <a:off x="4883452" y="2585358"/>
            <a:ext cx="3295953" cy="80131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742712-FF03-4D14-BBF9-C1994A1F7FF4}" type="TxLink">
              <a:rPr lang="en-US" sz="4800" b="1" i="0" u="none" strike="noStrike">
                <a:solidFill>
                  <a:srgbClr val="002060"/>
                </a:solidFill>
                <a:latin typeface="Calibri"/>
                <a:ea typeface="Calibri"/>
                <a:cs typeface="Calibri"/>
              </a:rPr>
              <a:pPr algn="ctr"/>
              <a:t>Jacket</a:t>
            </a:fld>
            <a:endParaRPr lang="en-IN" sz="4800" b="1">
              <a:solidFill>
                <a:srgbClr val="002060"/>
              </a:solidFill>
            </a:endParaRPr>
          </a:p>
        </xdr:txBody>
      </xdr:sp>
    </xdr:grpSp>
    <xdr:clientData/>
  </xdr:twoCellAnchor>
  <xdr:twoCellAnchor>
    <xdr:from>
      <xdr:col>2</xdr:col>
      <xdr:colOff>392389</xdr:colOff>
      <xdr:row>70</xdr:row>
      <xdr:rowOff>10922</xdr:rowOff>
    </xdr:from>
    <xdr:to>
      <xdr:col>24</xdr:col>
      <xdr:colOff>443512</xdr:colOff>
      <xdr:row>116</xdr:row>
      <xdr:rowOff>156465</xdr:rowOff>
    </xdr:to>
    <xdr:graphicFrame macro="">
      <xdr:nvGraphicFramePr>
        <xdr:cNvPr id="61" name="Chart 60">
          <a:extLst>
            <a:ext uri="{FF2B5EF4-FFF2-40B4-BE49-F238E27FC236}">
              <a16:creationId xmlns:a16="http://schemas.microsoft.com/office/drawing/2014/main" id="{134B1E74-D402-46BE-8DAC-A4DBAA4A6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86589</xdr:colOff>
      <xdr:row>117</xdr:row>
      <xdr:rowOff>86587</xdr:rowOff>
    </xdr:from>
    <xdr:to>
      <xdr:col>70</xdr:col>
      <xdr:colOff>259773</xdr:colOff>
      <xdr:row>165</xdr:row>
      <xdr:rowOff>144317</xdr:rowOff>
    </xdr:to>
    <xdr:graphicFrame macro="">
      <xdr:nvGraphicFramePr>
        <xdr:cNvPr id="62" name="Chart 61">
          <a:extLst>
            <a:ext uri="{FF2B5EF4-FFF2-40B4-BE49-F238E27FC236}">
              <a16:creationId xmlns:a16="http://schemas.microsoft.com/office/drawing/2014/main" id="{27255FFE-EA31-4764-AB5B-45D117B72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n Krishna" refreshedDate="46210.77981226852" createdVersion="8" refreshedVersion="8" minRefreshableVersion="3" recordCount="1000" xr:uid="{565535AB-C5F6-4AAF-B65A-15C93D5193FC}">
  <cacheSource type="worksheet">
    <worksheetSource name="Tailordata"/>
  </cacheSource>
  <cacheFields count="25">
    <cacheField name="OrderID" numFmtId="0">
      <sharedItems containsSemiMixedTypes="0" containsString="0" containsNumber="1" containsInteger="1" minValue="1" maxValue="1000"/>
    </cacheField>
    <cacheField name="Date" numFmtId="14">
      <sharedItems containsSemiMixedTypes="0" containsNonDate="0" containsDate="1" containsString="0" minDate="2024-01-01T00:00:00" maxDate="2024-04-29T00:00:00" count="119">
        <d v="2024-01-12T00:00:00"/>
        <d v="2024-01-18T00:00:00"/>
        <d v="2024-01-23T00:00:00"/>
        <d v="2024-04-14T00:00:00"/>
        <d v="2024-02-28T00:00:00"/>
        <d v="2024-03-26T00:00:00"/>
        <d v="2024-01-05T00:00:00"/>
        <d v="2024-02-17T00:00:00"/>
        <d v="2024-03-24T00:00:00"/>
        <d v="2024-01-14T00:00:00"/>
        <d v="2024-02-25T00:00:00"/>
        <d v="2024-03-09T00:00:00"/>
        <d v="2024-01-04T00:00:00"/>
        <d v="2024-04-02T00:00:00"/>
        <d v="2024-02-07T00:00:00"/>
        <d v="2024-01-28T00:00:00"/>
        <d v="2024-03-23T00:00:00"/>
        <d v="2024-03-19T00:00:00"/>
        <d v="2024-01-06T00:00:00"/>
        <d v="2024-04-08T00:00:00"/>
        <d v="2024-04-18T00:00:00"/>
        <d v="2024-04-13T00:00:00"/>
        <d v="2024-03-11T00:00:00"/>
        <d v="2024-01-16T00:00:00"/>
        <d v="2024-01-22T00:00:00"/>
        <d v="2024-04-23T00:00:00"/>
        <d v="2024-03-01T00:00:00"/>
        <d v="2024-01-09T00:00:00"/>
        <d v="2024-04-26T00:00:00"/>
        <d v="2024-02-18T00:00:00"/>
        <d v="2024-04-21T00:00:00"/>
        <d v="2024-02-11T00:00:00"/>
        <d v="2024-03-20T00:00:00"/>
        <d v="2024-01-26T00:00:00"/>
        <d v="2024-03-29T00:00:00"/>
        <d v="2024-02-26T00:00:00"/>
        <d v="2024-01-08T00:00:00"/>
        <d v="2024-04-01T00:00:00"/>
        <d v="2024-03-05T00:00:00"/>
        <d v="2024-04-28T00:00:00"/>
        <d v="2024-04-19T00:00:00"/>
        <d v="2024-02-21T00:00:00"/>
        <d v="2024-02-02T00:00:00"/>
        <d v="2024-03-12T00:00:00"/>
        <d v="2024-03-04T00:00:00"/>
        <d v="2024-01-21T00:00:00"/>
        <d v="2024-04-27T00:00:00"/>
        <d v="2024-03-18T00:00:00"/>
        <d v="2024-04-11T00:00:00"/>
        <d v="2024-02-03T00:00:00"/>
        <d v="2024-01-11T00:00:00"/>
        <d v="2024-01-20T00:00:00"/>
        <d v="2024-04-22T00:00:00"/>
        <d v="2024-03-15T00:00:00"/>
        <d v="2024-04-06T00:00:00"/>
        <d v="2024-04-03T00:00:00"/>
        <d v="2024-03-02T00:00:00"/>
        <d v="2024-01-19T00:00:00"/>
        <d v="2024-04-20T00:00:00"/>
        <d v="2024-04-05T00:00:00"/>
        <d v="2024-04-16T00:00:00"/>
        <d v="2024-02-15T00:00:00"/>
        <d v="2024-04-07T00:00:00"/>
        <d v="2024-01-31T00:00:00"/>
        <d v="2024-04-24T00:00:00"/>
        <d v="2024-03-25T00:00:00"/>
        <d v="2024-03-03T00:00:00"/>
        <d v="2024-01-03T00:00:00"/>
        <d v="2024-02-27T00:00:00"/>
        <d v="2024-03-21T00:00:00"/>
        <d v="2024-02-05T00:00:00"/>
        <d v="2024-02-10T00:00:00"/>
        <d v="2024-02-29T00:00:00"/>
        <d v="2024-03-07T00:00:00"/>
        <d v="2024-02-04T00:00:00"/>
        <d v="2024-02-23T00:00:00"/>
        <d v="2024-02-24T00:00:00"/>
        <d v="2024-01-25T00:00:00"/>
        <d v="2024-04-25T00:00:00"/>
        <d v="2024-04-10T00:00:00"/>
        <d v="2024-04-15T00:00:00"/>
        <d v="2024-03-30T00:00:00"/>
        <d v="2024-03-28T00:00:00"/>
        <d v="2024-04-12T00:00:00"/>
        <d v="2024-03-17T00:00:00"/>
        <d v="2024-04-17T00:00:00"/>
        <d v="2024-01-10T00:00:00"/>
        <d v="2024-04-09T00:00:00"/>
        <d v="2024-01-24T00:00:00"/>
        <d v="2024-03-06T00:00:00"/>
        <d v="2024-02-12T00:00:00"/>
        <d v="2024-02-19T00:00:00"/>
        <d v="2024-02-01T00:00:00"/>
        <d v="2024-03-14T00:00:00"/>
        <d v="2024-03-16T00:00:00"/>
        <d v="2024-02-13T00:00:00"/>
        <d v="2024-03-10T00:00:00"/>
        <d v="2024-02-06T00:00:00"/>
        <d v="2024-02-20T00:00:00"/>
        <d v="2024-01-01T00:00:00"/>
        <d v="2024-02-22T00:00:00"/>
        <d v="2024-01-27T00:00:00"/>
        <d v="2024-02-16T00:00:00"/>
        <d v="2024-02-14T00:00:00"/>
        <d v="2024-03-31T00:00:00"/>
        <d v="2024-03-08T00:00:00"/>
        <d v="2024-03-27T00:00:00"/>
        <d v="2024-01-02T00:00:00"/>
        <d v="2024-04-04T00:00:00"/>
        <d v="2024-01-30T00:00:00"/>
        <d v="2024-01-13T00:00:00"/>
        <d v="2024-02-09T00:00:00"/>
        <d v="2024-01-29T00:00:00"/>
        <d v="2024-01-17T00:00:00"/>
        <d v="2024-03-13T00:00:00"/>
        <d v="2024-03-22T00:00:00"/>
        <d v="2024-01-07T00:00:00"/>
        <d v="2024-02-08T00:00:00"/>
        <d v="2024-01-15T00:00:00"/>
      </sharedItems>
      <fieldGroup par="24"/>
    </cacheField>
    <cacheField name="DueDate" numFmtId="14">
      <sharedItems containsSemiMixedTypes="0" containsNonDate="0" containsDate="1" containsString="0" minDate="2024-04-27T00:00:00" maxDate="2024-05-29T00:00:00"/>
    </cacheField>
    <cacheField name="Processing days" numFmtId="1">
      <sharedItems containsSemiMixedTypes="0" containsString="0" containsNumber="1" containsInteger="1" minValue="2" maxValue="148"/>
    </cacheField>
    <cacheField name="GarmentType" numFmtId="0">
      <sharedItems count="5">
        <s v="Shirt"/>
        <s v="Jacket"/>
        <s v="Trousers"/>
        <s v="Suit"/>
        <s v="Dress"/>
      </sharedItems>
    </cacheField>
    <cacheField name="Material" numFmtId="0">
      <sharedItems count="5">
        <s v="Linen"/>
        <s v="Cotton"/>
        <s v="Leather"/>
        <s v="Wool"/>
        <s v="Silk"/>
      </sharedItems>
    </cacheField>
    <cacheField name="Cost" numFmtId="0">
      <sharedItems containsSemiMixedTypes="0" containsString="0" containsNumber="1" containsInteger="1" minValue="50" maxValue="500"/>
    </cacheField>
    <cacheField name="Status" numFmtId="0">
      <sharedItems count="5">
        <s v="Cutting"/>
        <s v="Measuring"/>
        <s v="Ready to Ship"/>
        <s v="Awaiting Pickup"/>
        <s v="Sewing"/>
      </sharedItems>
    </cacheField>
    <cacheField name="Chest" numFmtId="0">
      <sharedItems containsString="0" containsBlank="1" containsNumber="1" containsInteger="1" minValue="14" maxValue="24"/>
    </cacheField>
    <cacheField name="Arm Length" numFmtId="0">
      <sharedItems containsString="0" containsBlank="1" containsNumber="1" containsInteger="1" minValue="20" maxValue="50"/>
    </cacheField>
    <cacheField name="Shoulder" numFmtId="0">
      <sharedItems containsString="0" containsBlank="1" containsNumber="1" containsInteger="1" minValue="14" maxValue="24"/>
    </cacheField>
    <cacheField name="Armscye" numFmtId="0">
      <sharedItems containsString="0" containsBlank="1" containsNumber="1" containsInteger="1" minValue="14" maxValue="24"/>
    </cacheField>
    <cacheField name="Neck Size" numFmtId="0">
      <sharedItems containsString="0" containsBlank="1" containsNumber="1" containsInteger="1" minValue="14" maxValue="24"/>
    </cacheField>
    <cacheField name="Back Width" numFmtId="0">
      <sharedItems containsString="0" containsBlank="1" containsNumber="1" containsInteger="1" minValue="20" maxValue="50"/>
    </cacheField>
    <cacheField name="Waist" numFmtId="0">
      <sharedItems containsString="0" containsBlank="1" containsNumber="1" containsInteger="1" minValue="14" maxValue="24"/>
    </cacheField>
    <cacheField name="Front Shoulder to Waist" numFmtId="0">
      <sharedItems containsString="0" containsBlank="1" containsNumber="1" containsInteger="1" minValue="14" maxValue="24"/>
    </cacheField>
    <cacheField name="Hip" numFmtId="0">
      <sharedItems containsString="0" containsBlank="1" containsNumber="1" containsInteger="1" minValue="14" maxValue="24"/>
    </cacheField>
    <cacheField name="Waist to Knee" numFmtId="0">
      <sharedItems containsString="0" containsBlank="1" containsNumber="1" containsInteger="1" minValue="14" maxValue="24"/>
    </cacheField>
    <cacheField name="Crotch Depth" numFmtId="0">
      <sharedItems containsString="0" containsBlank="1" containsNumber="1" containsInteger="1" minValue="14" maxValue="24"/>
    </cacheField>
    <cacheField name="Body Rise" numFmtId="0">
      <sharedItems containsString="0" containsBlank="1" containsNumber="1" containsInteger="1" minValue="14" maxValue="24"/>
    </cacheField>
    <cacheField name="Waist to Floor" numFmtId="0">
      <sharedItems containsString="0" containsBlank="1" containsNumber="1" containsInteger="1" minValue="14" maxValue="24"/>
    </cacheField>
    <cacheField name="Nape to Waist" numFmtId="0">
      <sharedItems containsString="0" containsBlank="1" containsNumber="1" containsInteger="1" minValue="14" maxValue="24"/>
    </cacheField>
    <cacheField name="Bust" numFmtId="0">
      <sharedItems containsString="0" containsBlank="1" containsNumber="1" containsInteger="1" minValue="14" maxValue="24"/>
    </cacheField>
    <cacheField name="Days (Date)" numFmtId="0" databaseField="0">
      <fieldGroup base="1">
        <rangePr groupBy="days" startDate="2024-01-01T00:00:00" endDate="2024-04-29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4-2024"/>
        </groupItems>
      </fieldGroup>
    </cacheField>
    <cacheField name="Months (Date)" numFmtId="0" databaseField="0">
      <fieldGroup base="1">
        <rangePr groupBy="months" startDate="2024-01-01T00:00:00" endDate="2024-04-29T00:00:00"/>
        <groupItems count="14">
          <s v="&lt;01-01-2024"/>
          <s v="Jan"/>
          <s v="Feb"/>
          <s v="Mar"/>
          <s v="Apr"/>
          <s v="May"/>
          <s v="Jun"/>
          <s v="Jul"/>
          <s v="Aug"/>
          <s v="Sep"/>
          <s v="Oct"/>
          <s v="Nov"/>
          <s v="Dec"/>
          <s v="&gt;29-04-2024"/>
        </groupItems>
      </fieldGroup>
    </cacheField>
  </cacheFields>
  <extLst>
    <ext xmlns:x14="http://schemas.microsoft.com/office/spreadsheetml/2009/9/main" uri="{725AE2AE-9491-48be-B2B4-4EB974FC3084}">
      <x14:pivotCacheDefinition pivotCacheId="651952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d v="2024-05-07T00:00:00"/>
    <n v="116"/>
    <x v="0"/>
    <x v="0"/>
    <n v="357"/>
    <x v="0"/>
    <n v="16"/>
    <n v="34"/>
    <n v="22"/>
    <n v="15"/>
    <n v="14"/>
    <m/>
    <m/>
    <m/>
    <m/>
    <m/>
    <m/>
    <m/>
    <m/>
    <m/>
    <m/>
  </r>
  <r>
    <n v="2"/>
    <x v="1"/>
    <d v="2024-05-06T00:00:00"/>
    <n v="109"/>
    <x v="0"/>
    <x v="1"/>
    <n v="221"/>
    <x v="1"/>
    <n v="16"/>
    <n v="26"/>
    <n v="23"/>
    <n v="16"/>
    <n v="23"/>
    <m/>
    <m/>
    <m/>
    <m/>
    <m/>
    <m/>
    <m/>
    <m/>
    <m/>
    <m/>
  </r>
  <r>
    <n v="3"/>
    <x v="2"/>
    <d v="2024-05-24T00:00:00"/>
    <n v="122"/>
    <x v="1"/>
    <x v="1"/>
    <n v="166"/>
    <x v="2"/>
    <n v="23"/>
    <n v="25"/>
    <n v="19"/>
    <n v="18"/>
    <m/>
    <n v="40"/>
    <n v="16"/>
    <n v="14"/>
    <m/>
    <m/>
    <m/>
    <m/>
    <m/>
    <m/>
    <m/>
  </r>
  <r>
    <n v="4"/>
    <x v="3"/>
    <d v="2024-04-29T00:00:00"/>
    <n v="15"/>
    <x v="2"/>
    <x v="2"/>
    <n v="316"/>
    <x v="3"/>
    <m/>
    <m/>
    <m/>
    <m/>
    <m/>
    <m/>
    <n v="19"/>
    <m/>
    <n v="20"/>
    <n v="16"/>
    <n v="19"/>
    <n v="16"/>
    <n v="17"/>
    <m/>
    <m/>
  </r>
  <r>
    <n v="5"/>
    <x v="4"/>
    <d v="2024-05-14T00:00:00"/>
    <n v="76"/>
    <x v="2"/>
    <x v="3"/>
    <n v="199"/>
    <x v="0"/>
    <m/>
    <m/>
    <m/>
    <m/>
    <m/>
    <m/>
    <n v="17"/>
    <m/>
    <n v="16"/>
    <n v="24"/>
    <n v="22"/>
    <n v="18"/>
    <n v="21"/>
    <m/>
    <m/>
  </r>
  <r>
    <n v="6"/>
    <x v="5"/>
    <d v="2024-05-14T00:00:00"/>
    <n v="49"/>
    <x v="3"/>
    <x v="1"/>
    <n v="370"/>
    <x v="2"/>
    <n v="24"/>
    <n v="43"/>
    <n v="24"/>
    <n v="23"/>
    <n v="17"/>
    <n v="49"/>
    <n v="21"/>
    <m/>
    <n v="17"/>
    <n v="20"/>
    <m/>
    <m/>
    <m/>
    <m/>
    <m/>
  </r>
  <r>
    <n v="7"/>
    <x v="6"/>
    <d v="2024-05-15T00:00:00"/>
    <n v="131"/>
    <x v="0"/>
    <x v="1"/>
    <n v="107"/>
    <x v="0"/>
    <n v="23"/>
    <n v="24"/>
    <n v="22"/>
    <n v="19"/>
    <n v="17"/>
    <m/>
    <m/>
    <m/>
    <m/>
    <m/>
    <m/>
    <m/>
    <m/>
    <m/>
    <m/>
  </r>
  <r>
    <n v="8"/>
    <x v="7"/>
    <d v="2024-05-18T00:00:00"/>
    <n v="91"/>
    <x v="2"/>
    <x v="3"/>
    <n v="477"/>
    <x v="0"/>
    <m/>
    <m/>
    <m/>
    <m/>
    <m/>
    <m/>
    <n v="16"/>
    <m/>
    <n v="21"/>
    <n v="21"/>
    <n v="14"/>
    <n v="20"/>
    <n v="15"/>
    <m/>
    <m/>
  </r>
  <r>
    <n v="9"/>
    <x v="8"/>
    <d v="2024-05-01T00:00:00"/>
    <n v="38"/>
    <x v="1"/>
    <x v="3"/>
    <n v="476"/>
    <x v="4"/>
    <n v="14"/>
    <n v="41"/>
    <n v="20"/>
    <n v="20"/>
    <m/>
    <n v="35"/>
    <n v="17"/>
    <n v="17"/>
    <m/>
    <m/>
    <m/>
    <m/>
    <m/>
    <m/>
    <m/>
  </r>
  <r>
    <n v="10"/>
    <x v="9"/>
    <d v="2024-05-06T00:00:00"/>
    <n v="113"/>
    <x v="4"/>
    <x v="0"/>
    <n v="406"/>
    <x v="2"/>
    <m/>
    <m/>
    <m/>
    <m/>
    <m/>
    <m/>
    <n v="23"/>
    <n v="16"/>
    <n v="23"/>
    <n v="22"/>
    <m/>
    <m/>
    <n v="15"/>
    <n v="21"/>
    <n v="17"/>
  </r>
  <r>
    <n v="11"/>
    <x v="10"/>
    <d v="2024-05-06T00:00:00"/>
    <n v="71"/>
    <x v="4"/>
    <x v="3"/>
    <n v="453"/>
    <x v="1"/>
    <m/>
    <m/>
    <m/>
    <m/>
    <m/>
    <m/>
    <n v="22"/>
    <n v="15"/>
    <n v="21"/>
    <n v="17"/>
    <m/>
    <m/>
    <n v="14"/>
    <n v="15"/>
    <n v="16"/>
  </r>
  <r>
    <n v="12"/>
    <x v="11"/>
    <d v="2024-05-01T00:00:00"/>
    <n v="53"/>
    <x v="2"/>
    <x v="0"/>
    <n v="371"/>
    <x v="2"/>
    <m/>
    <m/>
    <m/>
    <m/>
    <m/>
    <m/>
    <n v="24"/>
    <m/>
    <n v="14"/>
    <n v="16"/>
    <n v="21"/>
    <n v="18"/>
    <n v="18"/>
    <m/>
    <m/>
  </r>
  <r>
    <n v="13"/>
    <x v="12"/>
    <d v="2024-05-11T00:00:00"/>
    <n v="128"/>
    <x v="3"/>
    <x v="1"/>
    <n v="345"/>
    <x v="4"/>
    <n v="16"/>
    <n v="32"/>
    <n v="20"/>
    <n v="17"/>
    <n v="17"/>
    <n v="26"/>
    <n v="23"/>
    <m/>
    <n v="14"/>
    <n v="20"/>
    <m/>
    <m/>
    <m/>
    <m/>
    <m/>
  </r>
  <r>
    <n v="14"/>
    <x v="13"/>
    <d v="2024-05-14T00:00:00"/>
    <n v="42"/>
    <x v="2"/>
    <x v="4"/>
    <n v="160"/>
    <x v="2"/>
    <m/>
    <m/>
    <m/>
    <m/>
    <m/>
    <m/>
    <n v="17"/>
    <m/>
    <n v="17"/>
    <n v="20"/>
    <n v="18"/>
    <n v="22"/>
    <n v="15"/>
    <m/>
    <m/>
  </r>
  <r>
    <n v="15"/>
    <x v="14"/>
    <d v="2024-05-09T00:00:00"/>
    <n v="92"/>
    <x v="1"/>
    <x v="3"/>
    <n v="474"/>
    <x v="2"/>
    <n v="17"/>
    <n v="49"/>
    <n v="18"/>
    <n v="21"/>
    <m/>
    <n v="31"/>
    <n v="16"/>
    <n v="16"/>
    <m/>
    <m/>
    <m/>
    <m/>
    <m/>
    <m/>
    <m/>
  </r>
  <r>
    <n v="16"/>
    <x v="0"/>
    <d v="2024-04-30T00:00:00"/>
    <n v="109"/>
    <x v="2"/>
    <x v="2"/>
    <n v="175"/>
    <x v="3"/>
    <m/>
    <m/>
    <m/>
    <m/>
    <m/>
    <m/>
    <n v="14"/>
    <m/>
    <n v="19"/>
    <n v="17"/>
    <n v="15"/>
    <n v="19"/>
    <n v="15"/>
    <m/>
    <m/>
  </r>
  <r>
    <n v="17"/>
    <x v="15"/>
    <d v="2024-05-28T00:00:00"/>
    <n v="121"/>
    <x v="3"/>
    <x v="1"/>
    <n v="499"/>
    <x v="0"/>
    <n v="20"/>
    <n v="21"/>
    <n v="22"/>
    <n v="21"/>
    <n v="21"/>
    <n v="36"/>
    <n v="23"/>
    <m/>
    <n v="23"/>
    <n v="15"/>
    <m/>
    <m/>
    <m/>
    <m/>
    <m/>
  </r>
  <r>
    <n v="18"/>
    <x v="16"/>
    <d v="2024-05-28T00:00:00"/>
    <n v="66"/>
    <x v="4"/>
    <x v="3"/>
    <n v="314"/>
    <x v="3"/>
    <m/>
    <m/>
    <m/>
    <m/>
    <m/>
    <m/>
    <n v="17"/>
    <n v="17"/>
    <n v="21"/>
    <n v="20"/>
    <m/>
    <m/>
    <n v="22"/>
    <n v="14"/>
    <n v="24"/>
  </r>
  <r>
    <n v="19"/>
    <x v="17"/>
    <d v="2024-05-24T00:00:00"/>
    <n v="66"/>
    <x v="0"/>
    <x v="3"/>
    <n v="84"/>
    <x v="3"/>
    <n v="14"/>
    <n v="21"/>
    <n v="17"/>
    <n v="15"/>
    <n v="24"/>
    <m/>
    <m/>
    <m/>
    <m/>
    <m/>
    <m/>
    <m/>
    <m/>
    <m/>
    <m/>
  </r>
  <r>
    <n v="20"/>
    <x v="18"/>
    <d v="2024-05-08T00:00:00"/>
    <n v="123"/>
    <x v="1"/>
    <x v="0"/>
    <n v="296"/>
    <x v="4"/>
    <n v="16"/>
    <n v="31"/>
    <n v="24"/>
    <n v="24"/>
    <m/>
    <n v="45"/>
    <n v="17"/>
    <n v="22"/>
    <m/>
    <m/>
    <m/>
    <m/>
    <m/>
    <m/>
    <m/>
  </r>
  <r>
    <n v="21"/>
    <x v="19"/>
    <d v="2024-05-02T00:00:00"/>
    <n v="24"/>
    <x v="1"/>
    <x v="3"/>
    <n v="67"/>
    <x v="1"/>
    <n v="24"/>
    <n v="25"/>
    <n v="19"/>
    <n v="19"/>
    <m/>
    <n v="44"/>
    <n v="24"/>
    <n v="21"/>
    <m/>
    <m/>
    <m/>
    <m/>
    <m/>
    <m/>
    <m/>
  </r>
  <r>
    <n v="22"/>
    <x v="20"/>
    <d v="2024-05-21T00:00:00"/>
    <n v="33"/>
    <x v="0"/>
    <x v="4"/>
    <n v="414"/>
    <x v="0"/>
    <n v="14"/>
    <n v="46"/>
    <n v="15"/>
    <n v="20"/>
    <n v="15"/>
    <m/>
    <m/>
    <m/>
    <m/>
    <m/>
    <m/>
    <m/>
    <m/>
    <m/>
    <m/>
  </r>
  <r>
    <n v="23"/>
    <x v="21"/>
    <d v="2024-05-04T00:00:00"/>
    <n v="21"/>
    <x v="0"/>
    <x v="0"/>
    <n v="371"/>
    <x v="1"/>
    <n v="24"/>
    <n v="42"/>
    <n v="21"/>
    <n v="19"/>
    <n v="14"/>
    <m/>
    <m/>
    <m/>
    <m/>
    <m/>
    <m/>
    <m/>
    <m/>
    <m/>
    <m/>
  </r>
  <r>
    <n v="24"/>
    <x v="22"/>
    <d v="2024-05-03T00:00:00"/>
    <n v="53"/>
    <x v="3"/>
    <x v="3"/>
    <n v="109"/>
    <x v="2"/>
    <n v="21"/>
    <n v="30"/>
    <n v="15"/>
    <n v="16"/>
    <n v="17"/>
    <n v="40"/>
    <n v="18"/>
    <m/>
    <n v="23"/>
    <n v="17"/>
    <m/>
    <m/>
    <m/>
    <m/>
    <m/>
  </r>
  <r>
    <n v="25"/>
    <x v="23"/>
    <d v="2024-05-10T00:00:00"/>
    <n v="115"/>
    <x v="3"/>
    <x v="4"/>
    <n v="428"/>
    <x v="1"/>
    <n v="17"/>
    <n v="27"/>
    <n v="19"/>
    <n v="19"/>
    <n v="22"/>
    <n v="40"/>
    <n v="17"/>
    <m/>
    <n v="20"/>
    <n v="24"/>
    <m/>
    <m/>
    <m/>
    <m/>
    <m/>
  </r>
  <r>
    <n v="26"/>
    <x v="24"/>
    <d v="2024-05-11T00:00:00"/>
    <n v="110"/>
    <x v="1"/>
    <x v="0"/>
    <n v="315"/>
    <x v="0"/>
    <n v="14"/>
    <n v="35"/>
    <n v="23"/>
    <n v="15"/>
    <m/>
    <n v="28"/>
    <n v="22"/>
    <n v="20"/>
    <m/>
    <m/>
    <m/>
    <m/>
    <m/>
    <m/>
    <m/>
  </r>
  <r>
    <n v="27"/>
    <x v="25"/>
    <d v="2024-05-10T00:00:00"/>
    <n v="17"/>
    <x v="2"/>
    <x v="3"/>
    <n v="233"/>
    <x v="0"/>
    <m/>
    <m/>
    <m/>
    <m/>
    <m/>
    <m/>
    <n v="14"/>
    <m/>
    <n v="15"/>
    <n v="15"/>
    <n v="17"/>
    <n v="24"/>
    <n v="20"/>
    <m/>
    <m/>
  </r>
  <r>
    <n v="28"/>
    <x v="26"/>
    <d v="2024-05-20T00:00:00"/>
    <n v="80"/>
    <x v="4"/>
    <x v="3"/>
    <n v="163"/>
    <x v="2"/>
    <m/>
    <m/>
    <m/>
    <m/>
    <m/>
    <m/>
    <n v="15"/>
    <n v="21"/>
    <n v="14"/>
    <n v="16"/>
    <m/>
    <m/>
    <n v="16"/>
    <n v="24"/>
    <n v="20"/>
  </r>
  <r>
    <n v="29"/>
    <x v="27"/>
    <d v="2024-05-25T00:00:00"/>
    <n v="137"/>
    <x v="2"/>
    <x v="4"/>
    <n v="123"/>
    <x v="0"/>
    <m/>
    <m/>
    <m/>
    <m/>
    <m/>
    <m/>
    <n v="17"/>
    <m/>
    <n v="15"/>
    <n v="24"/>
    <n v="14"/>
    <n v="22"/>
    <n v="14"/>
    <m/>
    <m/>
  </r>
  <r>
    <n v="30"/>
    <x v="24"/>
    <d v="2024-05-22T00:00:00"/>
    <n v="121"/>
    <x v="4"/>
    <x v="2"/>
    <n v="100"/>
    <x v="1"/>
    <m/>
    <m/>
    <m/>
    <m/>
    <m/>
    <m/>
    <n v="16"/>
    <n v="23"/>
    <n v="24"/>
    <n v="23"/>
    <m/>
    <m/>
    <n v="14"/>
    <n v="18"/>
    <n v="17"/>
  </r>
  <r>
    <n v="31"/>
    <x v="28"/>
    <d v="2024-05-21T00:00:00"/>
    <n v="25"/>
    <x v="2"/>
    <x v="4"/>
    <n v="167"/>
    <x v="3"/>
    <m/>
    <m/>
    <m/>
    <m/>
    <m/>
    <m/>
    <n v="14"/>
    <m/>
    <n v="21"/>
    <n v="19"/>
    <n v="20"/>
    <n v="21"/>
    <n v="23"/>
    <m/>
    <m/>
  </r>
  <r>
    <n v="32"/>
    <x v="15"/>
    <d v="2024-04-29T00:00:00"/>
    <n v="92"/>
    <x v="3"/>
    <x v="4"/>
    <n v="144"/>
    <x v="0"/>
    <n v="20"/>
    <n v="29"/>
    <n v="17"/>
    <n v="16"/>
    <n v="17"/>
    <n v="20"/>
    <n v="22"/>
    <m/>
    <n v="21"/>
    <n v="20"/>
    <m/>
    <m/>
    <m/>
    <m/>
    <m/>
  </r>
  <r>
    <n v="33"/>
    <x v="29"/>
    <d v="2024-05-20T00:00:00"/>
    <n v="92"/>
    <x v="4"/>
    <x v="3"/>
    <n v="86"/>
    <x v="0"/>
    <m/>
    <m/>
    <m/>
    <m/>
    <m/>
    <m/>
    <n v="17"/>
    <n v="24"/>
    <n v="20"/>
    <n v="23"/>
    <m/>
    <m/>
    <n v="22"/>
    <n v="14"/>
    <n v="19"/>
  </r>
  <r>
    <n v="34"/>
    <x v="30"/>
    <d v="2024-05-10T00:00:00"/>
    <n v="19"/>
    <x v="0"/>
    <x v="1"/>
    <n v="445"/>
    <x v="1"/>
    <n v="19"/>
    <n v="43"/>
    <n v="17"/>
    <n v="19"/>
    <n v="14"/>
    <m/>
    <m/>
    <m/>
    <m/>
    <m/>
    <m/>
    <m/>
    <m/>
    <m/>
    <m/>
  </r>
  <r>
    <n v="35"/>
    <x v="31"/>
    <d v="2024-05-25T00:00:00"/>
    <n v="104"/>
    <x v="1"/>
    <x v="4"/>
    <n v="454"/>
    <x v="1"/>
    <n v="23"/>
    <n v="36"/>
    <n v="15"/>
    <n v="23"/>
    <m/>
    <n v="41"/>
    <n v="21"/>
    <n v="24"/>
    <m/>
    <m/>
    <m/>
    <m/>
    <m/>
    <m/>
    <m/>
  </r>
  <r>
    <n v="36"/>
    <x v="32"/>
    <d v="2024-05-10T00:00:00"/>
    <n v="51"/>
    <x v="3"/>
    <x v="4"/>
    <n v="255"/>
    <x v="1"/>
    <n v="20"/>
    <n v="26"/>
    <n v="23"/>
    <n v="17"/>
    <n v="21"/>
    <n v="24"/>
    <n v="18"/>
    <m/>
    <n v="22"/>
    <n v="24"/>
    <m/>
    <m/>
    <m/>
    <m/>
    <m/>
  </r>
  <r>
    <n v="37"/>
    <x v="33"/>
    <d v="2024-05-12T00:00:00"/>
    <n v="107"/>
    <x v="3"/>
    <x v="0"/>
    <n v="450"/>
    <x v="0"/>
    <n v="18"/>
    <n v="41"/>
    <n v="14"/>
    <n v="23"/>
    <n v="24"/>
    <n v="34"/>
    <n v="15"/>
    <m/>
    <n v="23"/>
    <n v="24"/>
    <m/>
    <m/>
    <m/>
    <m/>
    <m/>
  </r>
  <r>
    <n v="38"/>
    <x v="34"/>
    <d v="2024-05-07T00:00:00"/>
    <n v="39"/>
    <x v="1"/>
    <x v="1"/>
    <n v="220"/>
    <x v="3"/>
    <n v="14"/>
    <n v="22"/>
    <n v="16"/>
    <n v="17"/>
    <m/>
    <n v="37"/>
    <n v="19"/>
    <n v="18"/>
    <m/>
    <m/>
    <m/>
    <m/>
    <m/>
    <m/>
    <m/>
  </r>
  <r>
    <n v="39"/>
    <x v="32"/>
    <d v="2024-05-04T00:00:00"/>
    <n v="45"/>
    <x v="1"/>
    <x v="0"/>
    <n v="205"/>
    <x v="0"/>
    <n v="14"/>
    <n v="50"/>
    <n v="14"/>
    <n v="20"/>
    <m/>
    <n v="34"/>
    <n v="19"/>
    <n v="16"/>
    <m/>
    <m/>
    <m/>
    <m/>
    <m/>
    <m/>
    <m/>
  </r>
  <r>
    <n v="40"/>
    <x v="14"/>
    <d v="2024-05-19T00:00:00"/>
    <n v="102"/>
    <x v="2"/>
    <x v="4"/>
    <n v="349"/>
    <x v="3"/>
    <m/>
    <m/>
    <m/>
    <m/>
    <m/>
    <m/>
    <n v="22"/>
    <m/>
    <n v="18"/>
    <n v="19"/>
    <n v="18"/>
    <n v="17"/>
    <n v="17"/>
    <m/>
    <m/>
  </r>
  <r>
    <n v="41"/>
    <x v="35"/>
    <d v="2024-05-09T00:00:00"/>
    <n v="73"/>
    <x v="3"/>
    <x v="1"/>
    <n v="430"/>
    <x v="3"/>
    <n v="24"/>
    <n v="31"/>
    <n v="21"/>
    <n v="16"/>
    <n v="24"/>
    <n v="33"/>
    <n v="17"/>
    <m/>
    <n v="22"/>
    <n v="17"/>
    <m/>
    <m/>
    <m/>
    <m/>
    <m/>
  </r>
  <r>
    <n v="42"/>
    <x v="19"/>
    <d v="2024-05-20T00:00:00"/>
    <n v="42"/>
    <x v="2"/>
    <x v="0"/>
    <n v="497"/>
    <x v="2"/>
    <m/>
    <m/>
    <m/>
    <m/>
    <m/>
    <m/>
    <n v="23"/>
    <m/>
    <n v="16"/>
    <n v="24"/>
    <n v="18"/>
    <n v="18"/>
    <n v="20"/>
    <m/>
    <m/>
  </r>
  <r>
    <n v="43"/>
    <x v="4"/>
    <d v="2024-05-25T00:00:00"/>
    <n v="87"/>
    <x v="0"/>
    <x v="2"/>
    <n v="142"/>
    <x v="3"/>
    <n v="23"/>
    <n v="40"/>
    <n v="23"/>
    <n v="19"/>
    <n v="19"/>
    <m/>
    <m/>
    <m/>
    <m/>
    <m/>
    <m/>
    <m/>
    <m/>
    <m/>
    <m/>
  </r>
  <r>
    <n v="44"/>
    <x v="36"/>
    <d v="2024-05-13T00:00:00"/>
    <n v="126"/>
    <x v="2"/>
    <x v="4"/>
    <n v="172"/>
    <x v="1"/>
    <m/>
    <m/>
    <m/>
    <m/>
    <m/>
    <m/>
    <n v="18"/>
    <m/>
    <n v="16"/>
    <n v="17"/>
    <n v="20"/>
    <n v="18"/>
    <n v="15"/>
    <m/>
    <m/>
  </r>
  <r>
    <n v="45"/>
    <x v="37"/>
    <d v="2024-05-11T00:00:00"/>
    <n v="40"/>
    <x v="4"/>
    <x v="2"/>
    <n v="78"/>
    <x v="3"/>
    <m/>
    <m/>
    <m/>
    <m/>
    <m/>
    <m/>
    <n v="19"/>
    <n v="14"/>
    <n v="17"/>
    <n v="23"/>
    <m/>
    <m/>
    <n v="17"/>
    <n v="21"/>
    <n v="17"/>
  </r>
  <r>
    <n v="46"/>
    <x v="32"/>
    <d v="2024-05-10T00:00:00"/>
    <n v="51"/>
    <x v="2"/>
    <x v="3"/>
    <n v="271"/>
    <x v="4"/>
    <m/>
    <m/>
    <m/>
    <m/>
    <m/>
    <m/>
    <n v="15"/>
    <m/>
    <n v="22"/>
    <n v="19"/>
    <n v="19"/>
    <n v="17"/>
    <n v="14"/>
    <m/>
    <m/>
  </r>
  <r>
    <n v="47"/>
    <x v="38"/>
    <d v="2024-05-13T00:00:00"/>
    <n v="69"/>
    <x v="3"/>
    <x v="0"/>
    <n v="104"/>
    <x v="0"/>
    <n v="15"/>
    <n v="48"/>
    <n v="14"/>
    <n v="14"/>
    <n v="19"/>
    <n v="22"/>
    <n v="14"/>
    <m/>
    <n v="14"/>
    <n v="21"/>
    <m/>
    <m/>
    <m/>
    <m/>
    <m/>
  </r>
  <r>
    <n v="48"/>
    <x v="32"/>
    <d v="2024-05-27T00:00:00"/>
    <n v="68"/>
    <x v="3"/>
    <x v="1"/>
    <n v="147"/>
    <x v="3"/>
    <n v="21"/>
    <n v="47"/>
    <n v="14"/>
    <n v="21"/>
    <n v="23"/>
    <n v="39"/>
    <n v="24"/>
    <m/>
    <n v="24"/>
    <n v="21"/>
    <m/>
    <m/>
    <m/>
    <m/>
    <m/>
  </r>
  <r>
    <n v="49"/>
    <x v="39"/>
    <d v="2024-04-30T00:00:00"/>
    <n v="2"/>
    <x v="3"/>
    <x v="3"/>
    <n v="134"/>
    <x v="0"/>
    <n v="15"/>
    <n v="20"/>
    <n v="19"/>
    <n v="24"/>
    <n v="18"/>
    <n v="45"/>
    <n v="22"/>
    <m/>
    <n v="21"/>
    <n v="14"/>
    <m/>
    <m/>
    <m/>
    <m/>
    <m/>
  </r>
  <r>
    <n v="50"/>
    <x v="40"/>
    <d v="2024-05-20T00:00:00"/>
    <n v="31"/>
    <x v="4"/>
    <x v="0"/>
    <n v="300"/>
    <x v="0"/>
    <m/>
    <m/>
    <m/>
    <m/>
    <m/>
    <m/>
    <n v="20"/>
    <n v="17"/>
    <n v="18"/>
    <n v="16"/>
    <m/>
    <m/>
    <n v="16"/>
    <n v="14"/>
    <n v="15"/>
  </r>
  <r>
    <n v="51"/>
    <x v="41"/>
    <d v="2024-05-02T00:00:00"/>
    <n v="71"/>
    <x v="2"/>
    <x v="3"/>
    <n v="260"/>
    <x v="2"/>
    <m/>
    <m/>
    <m/>
    <m/>
    <m/>
    <m/>
    <n v="15"/>
    <m/>
    <n v="15"/>
    <n v="20"/>
    <n v="22"/>
    <n v="24"/>
    <n v="14"/>
    <m/>
    <m/>
  </r>
  <r>
    <n v="52"/>
    <x v="13"/>
    <d v="2024-05-28T00:00:00"/>
    <n v="56"/>
    <x v="1"/>
    <x v="1"/>
    <n v="296"/>
    <x v="4"/>
    <n v="23"/>
    <n v="48"/>
    <n v="21"/>
    <n v="17"/>
    <m/>
    <n v="23"/>
    <n v="15"/>
    <n v="19"/>
    <m/>
    <m/>
    <m/>
    <m/>
    <m/>
    <m/>
    <m/>
  </r>
  <r>
    <n v="53"/>
    <x v="2"/>
    <d v="2024-05-17T00:00:00"/>
    <n v="115"/>
    <x v="1"/>
    <x v="4"/>
    <n v="490"/>
    <x v="0"/>
    <n v="21"/>
    <n v="29"/>
    <n v="23"/>
    <n v="22"/>
    <m/>
    <n v="49"/>
    <n v="20"/>
    <n v="16"/>
    <m/>
    <m/>
    <m/>
    <m/>
    <m/>
    <m/>
    <m/>
  </r>
  <r>
    <n v="54"/>
    <x v="4"/>
    <d v="2024-05-23T00:00:00"/>
    <n v="85"/>
    <x v="1"/>
    <x v="4"/>
    <n v="294"/>
    <x v="2"/>
    <n v="14"/>
    <n v="27"/>
    <n v="15"/>
    <n v="20"/>
    <m/>
    <n v="47"/>
    <n v="21"/>
    <n v="14"/>
    <m/>
    <m/>
    <m/>
    <m/>
    <m/>
    <m/>
    <m/>
  </r>
  <r>
    <n v="55"/>
    <x v="42"/>
    <d v="2024-05-23T00:00:00"/>
    <n v="111"/>
    <x v="0"/>
    <x v="3"/>
    <n v="495"/>
    <x v="4"/>
    <n v="24"/>
    <n v="27"/>
    <n v="14"/>
    <n v="15"/>
    <n v="16"/>
    <m/>
    <m/>
    <m/>
    <m/>
    <m/>
    <m/>
    <m/>
    <m/>
    <m/>
    <m/>
  </r>
  <r>
    <n v="56"/>
    <x v="34"/>
    <d v="2024-05-24T00:00:00"/>
    <n v="56"/>
    <x v="2"/>
    <x v="2"/>
    <n v="462"/>
    <x v="1"/>
    <m/>
    <m/>
    <m/>
    <m/>
    <m/>
    <m/>
    <n v="20"/>
    <m/>
    <n v="19"/>
    <n v="20"/>
    <n v="18"/>
    <n v="18"/>
    <n v="15"/>
    <m/>
    <m/>
  </r>
  <r>
    <n v="57"/>
    <x v="43"/>
    <d v="2024-05-23T00:00:00"/>
    <n v="72"/>
    <x v="2"/>
    <x v="3"/>
    <n v="253"/>
    <x v="3"/>
    <m/>
    <m/>
    <m/>
    <m/>
    <m/>
    <m/>
    <n v="24"/>
    <m/>
    <n v="17"/>
    <n v="22"/>
    <n v="16"/>
    <n v="23"/>
    <n v="19"/>
    <m/>
    <m/>
  </r>
  <r>
    <n v="58"/>
    <x v="44"/>
    <d v="2024-05-18T00:00:00"/>
    <n v="75"/>
    <x v="2"/>
    <x v="1"/>
    <n v="230"/>
    <x v="2"/>
    <m/>
    <m/>
    <m/>
    <m/>
    <m/>
    <m/>
    <n v="19"/>
    <m/>
    <n v="21"/>
    <n v="21"/>
    <n v="15"/>
    <n v="22"/>
    <n v="18"/>
    <m/>
    <m/>
  </r>
  <r>
    <n v="59"/>
    <x v="45"/>
    <d v="2024-05-19T00:00:00"/>
    <n v="119"/>
    <x v="0"/>
    <x v="0"/>
    <n v="294"/>
    <x v="2"/>
    <n v="21"/>
    <n v="24"/>
    <n v="22"/>
    <n v="15"/>
    <n v="23"/>
    <m/>
    <m/>
    <m/>
    <m/>
    <m/>
    <m/>
    <m/>
    <m/>
    <m/>
    <m/>
  </r>
  <r>
    <n v="60"/>
    <x v="46"/>
    <d v="2024-05-25T00:00:00"/>
    <n v="28"/>
    <x v="4"/>
    <x v="1"/>
    <n v="448"/>
    <x v="2"/>
    <m/>
    <m/>
    <m/>
    <m/>
    <m/>
    <m/>
    <n v="15"/>
    <n v="18"/>
    <n v="15"/>
    <n v="18"/>
    <m/>
    <m/>
    <n v="22"/>
    <n v="22"/>
    <n v="21"/>
  </r>
  <r>
    <n v="61"/>
    <x v="47"/>
    <d v="2024-05-13T00:00:00"/>
    <n v="56"/>
    <x v="4"/>
    <x v="3"/>
    <n v="224"/>
    <x v="1"/>
    <m/>
    <m/>
    <m/>
    <m/>
    <m/>
    <m/>
    <n v="18"/>
    <n v="16"/>
    <n v="14"/>
    <n v="15"/>
    <m/>
    <m/>
    <n v="15"/>
    <n v="21"/>
    <n v="23"/>
  </r>
  <r>
    <n v="62"/>
    <x v="3"/>
    <d v="2024-05-25T00:00:00"/>
    <n v="41"/>
    <x v="3"/>
    <x v="1"/>
    <n v="309"/>
    <x v="0"/>
    <n v="19"/>
    <n v="39"/>
    <n v="24"/>
    <n v="15"/>
    <n v="17"/>
    <n v="28"/>
    <n v="18"/>
    <m/>
    <n v="21"/>
    <n v="16"/>
    <m/>
    <m/>
    <m/>
    <m/>
    <m/>
  </r>
  <r>
    <n v="63"/>
    <x v="48"/>
    <d v="2024-05-15T00:00:00"/>
    <n v="34"/>
    <x v="2"/>
    <x v="0"/>
    <n v="140"/>
    <x v="4"/>
    <m/>
    <m/>
    <m/>
    <m/>
    <m/>
    <m/>
    <n v="15"/>
    <m/>
    <n v="19"/>
    <n v="15"/>
    <n v="14"/>
    <n v="18"/>
    <n v="21"/>
    <m/>
    <m/>
  </r>
  <r>
    <n v="64"/>
    <x v="49"/>
    <d v="2024-05-04T00:00:00"/>
    <n v="91"/>
    <x v="4"/>
    <x v="2"/>
    <n v="100"/>
    <x v="4"/>
    <m/>
    <m/>
    <m/>
    <m/>
    <m/>
    <m/>
    <n v="20"/>
    <n v="20"/>
    <n v="18"/>
    <n v="15"/>
    <m/>
    <m/>
    <n v="21"/>
    <n v="20"/>
    <n v="14"/>
  </r>
  <r>
    <n v="65"/>
    <x v="36"/>
    <d v="2024-05-21T00:00:00"/>
    <n v="134"/>
    <x v="4"/>
    <x v="4"/>
    <n v="404"/>
    <x v="1"/>
    <m/>
    <m/>
    <m/>
    <m/>
    <m/>
    <m/>
    <n v="21"/>
    <n v="24"/>
    <n v="14"/>
    <n v="20"/>
    <m/>
    <m/>
    <n v="14"/>
    <n v="19"/>
    <n v="18"/>
  </r>
  <r>
    <n v="66"/>
    <x v="50"/>
    <d v="2024-05-03T00:00:00"/>
    <n v="113"/>
    <x v="2"/>
    <x v="0"/>
    <n v="61"/>
    <x v="4"/>
    <m/>
    <m/>
    <m/>
    <m/>
    <m/>
    <m/>
    <n v="18"/>
    <m/>
    <n v="18"/>
    <n v="16"/>
    <n v="14"/>
    <n v="18"/>
    <n v="20"/>
    <m/>
    <m/>
  </r>
  <r>
    <n v="67"/>
    <x v="51"/>
    <d v="2024-05-11T00:00:00"/>
    <n v="112"/>
    <x v="0"/>
    <x v="3"/>
    <n v="195"/>
    <x v="0"/>
    <n v="24"/>
    <n v="41"/>
    <n v="20"/>
    <n v="20"/>
    <n v="20"/>
    <m/>
    <m/>
    <m/>
    <m/>
    <m/>
    <m/>
    <m/>
    <m/>
    <m/>
    <m/>
  </r>
  <r>
    <n v="68"/>
    <x v="52"/>
    <d v="2024-05-11T00:00:00"/>
    <n v="19"/>
    <x v="3"/>
    <x v="2"/>
    <n v="355"/>
    <x v="1"/>
    <n v="14"/>
    <n v="49"/>
    <n v="15"/>
    <n v="22"/>
    <n v="15"/>
    <n v="46"/>
    <n v="15"/>
    <m/>
    <n v="14"/>
    <n v="18"/>
    <m/>
    <m/>
    <m/>
    <m/>
    <m/>
  </r>
  <r>
    <n v="69"/>
    <x v="20"/>
    <d v="2024-05-05T00:00:00"/>
    <n v="17"/>
    <x v="2"/>
    <x v="3"/>
    <n v="434"/>
    <x v="2"/>
    <m/>
    <m/>
    <m/>
    <m/>
    <m/>
    <m/>
    <n v="17"/>
    <m/>
    <n v="21"/>
    <n v="23"/>
    <n v="20"/>
    <n v="22"/>
    <n v="22"/>
    <m/>
    <m/>
  </r>
  <r>
    <n v="70"/>
    <x v="0"/>
    <d v="2024-05-20T00:00:00"/>
    <n v="129"/>
    <x v="3"/>
    <x v="4"/>
    <n v="74"/>
    <x v="2"/>
    <n v="24"/>
    <n v="50"/>
    <n v="17"/>
    <n v="14"/>
    <n v="15"/>
    <n v="41"/>
    <n v="19"/>
    <m/>
    <n v="20"/>
    <n v="17"/>
    <m/>
    <m/>
    <m/>
    <m/>
    <m/>
  </r>
  <r>
    <n v="71"/>
    <x v="24"/>
    <d v="2024-05-28T00:00:00"/>
    <n v="127"/>
    <x v="4"/>
    <x v="4"/>
    <n v="281"/>
    <x v="3"/>
    <m/>
    <m/>
    <m/>
    <m/>
    <m/>
    <m/>
    <n v="16"/>
    <n v="19"/>
    <n v="20"/>
    <n v="22"/>
    <m/>
    <m/>
    <n v="15"/>
    <n v="23"/>
    <n v="15"/>
  </r>
  <r>
    <n v="72"/>
    <x v="53"/>
    <d v="2024-05-21T00:00:00"/>
    <n v="67"/>
    <x v="1"/>
    <x v="2"/>
    <n v="327"/>
    <x v="0"/>
    <n v="20"/>
    <n v="48"/>
    <n v="18"/>
    <n v="15"/>
    <m/>
    <n v="45"/>
    <n v="24"/>
    <n v="17"/>
    <m/>
    <m/>
    <m/>
    <m/>
    <m/>
    <m/>
    <m/>
  </r>
  <r>
    <n v="73"/>
    <x v="54"/>
    <d v="2024-05-08T00:00:00"/>
    <n v="32"/>
    <x v="3"/>
    <x v="1"/>
    <n v="149"/>
    <x v="3"/>
    <n v="23"/>
    <n v="47"/>
    <n v="20"/>
    <n v="21"/>
    <n v="23"/>
    <n v="41"/>
    <n v="19"/>
    <m/>
    <n v="14"/>
    <n v="21"/>
    <m/>
    <m/>
    <m/>
    <m/>
    <m/>
  </r>
  <r>
    <n v="74"/>
    <x v="48"/>
    <d v="2024-05-09T00:00:00"/>
    <n v="28"/>
    <x v="4"/>
    <x v="1"/>
    <n v="85"/>
    <x v="3"/>
    <m/>
    <m/>
    <m/>
    <m/>
    <m/>
    <m/>
    <n v="16"/>
    <n v="15"/>
    <n v="21"/>
    <n v="20"/>
    <m/>
    <m/>
    <n v="17"/>
    <n v="14"/>
    <n v="15"/>
  </r>
  <r>
    <n v="75"/>
    <x v="23"/>
    <d v="2024-05-16T00:00:00"/>
    <n v="121"/>
    <x v="3"/>
    <x v="4"/>
    <n v="134"/>
    <x v="4"/>
    <n v="21"/>
    <n v="23"/>
    <n v="14"/>
    <n v="23"/>
    <n v="19"/>
    <n v="36"/>
    <n v="19"/>
    <m/>
    <n v="19"/>
    <n v="19"/>
    <m/>
    <m/>
    <m/>
    <m/>
    <m/>
  </r>
  <r>
    <n v="76"/>
    <x v="55"/>
    <d v="2024-05-26T00:00:00"/>
    <n v="53"/>
    <x v="0"/>
    <x v="3"/>
    <n v="156"/>
    <x v="3"/>
    <n v="17"/>
    <n v="43"/>
    <n v="21"/>
    <n v="24"/>
    <n v="20"/>
    <m/>
    <m/>
    <m/>
    <m/>
    <m/>
    <m/>
    <m/>
    <m/>
    <m/>
    <m/>
  </r>
  <r>
    <n v="77"/>
    <x v="55"/>
    <d v="2024-05-19T00:00:00"/>
    <n v="46"/>
    <x v="0"/>
    <x v="4"/>
    <n v="209"/>
    <x v="0"/>
    <n v="22"/>
    <n v="24"/>
    <n v="24"/>
    <n v="23"/>
    <n v="18"/>
    <m/>
    <m/>
    <m/>
    <m/>
    <m/>
    <m/>
    <m/>
    <m/>
    <m/>
    <m/>
  </r>
  <r>
    <n v="78"/>
    <x v="56"/>
    <d v="2024-05-05T00:00:00"/>
    <n v="64"/>
    <x v="4"/>
    <x v="4"/>
    <n v="362"/>
    <x v="3"/>
    <m/>
    <m/>
    <m/>
    <m/>
    <m/>
    <m/>
    <n v="18"/>
    <n v="20"/>
    <n v="14"/>
    <n v="22"/>
    <m/>
    <m/>
    <n v="24"/>
    <n v="23"/>
    <n v="22"/>
  </r>
  <r>
    <n v="79"/>
    <x v="22"/>
    <d v="2024-05-13T00:00:00"/>
    <n v="63"/>
    <x v="1"/>
    <x v="3"/>
    <n v="85"/>
    <x v="0"/>
    <n v="21"/>
    <n v="33"/>
    <n v="15"/>
    <n v="18"/>
    <m/>
    <n v="50"/>
    <n v="21"/>
    <n v="18"/>
    <m/>
    <m/>
    <m/>
    <m/>
    <m/>
    <m/>
    <m/>
  </r>
  <r>
    <n v="80"/>
    <x v="57"/>
    <d v="2024-04-30T00:00:00"/>
    <n v="102"/>
    <x v="2"/>
    <x v="0"/>
    <n v="114"/>
    <x v="0"/>
    <m/>
    <m/>
    <m/>
    <m/>
    <m/>
    <m/>
    <n v="23"/>
    <m/>
    <n v="24"/>
    <n v="24"/>
    <n v="23"/>
    <n v="22"/>
    <n v="19"/>
    <m/>
    <m/>
  </r>
  <r>
    <n v="81"/>
    <x v="58"/>
    <d v="2024-05-12T00:00:00"/>
    <n v="22"/>
    <x v="4"/>
    <x v="0"/>
    <n v="313"/>
    <x v="1"/>
    <m/>
    <m/>
    <m/>
    <m/>
    <m/>
    <m/>
    <n v="21"/>
    <n v="24"/>
    <n v="18"/>
    <n v="14"/>
    <m/>
    <m/>
    <n v="16"/>
    <n v="14"/>
    <n v="14"/>
  </r>
  <r>
    <n v="82"/>
    <x v="17"/>
    <d v="2024-05-23T00:00:00"/>
    <n v="65"/>
    <x v="0"/>
    <x v="0"/>
    <n v="255"/>
    <x v="1"/>
    <n v="16"/>
    <n v="22"/>
    <n v="18"/>
    <n v="18"/>
    <n v="23"/>
    <m/>
    <m/>
    <m/>
    <m/>
    <m/>
    <m/>
    <m/>
    <m/>
    <m/>
    <m/>
  </r>
  <r>
    <n v="83"/>
    <x v="59"/>
    <d v="2024-05-15T00:00:00"/>
    <n v="40"/>
    <x v="3"/>
    <x v="0"/>
    <n v="82"/>
    <x v="0"/>
    <n v="14"/>
    <n v="38"/>
    <n v="18"/>
    <n v="18"/>
    <n v="23"/>
    <n v="34"/>
    <n v="22"/>
    <m/>
    <n v="17"/>
    <n v="19"/>
    <m/>
    <m/>
    <m/>
    <m/>
    <m/>
  </r>
  <r>
    <n v="84"/>
    <x v="60"/>
    <d v="2024-05-02T00:00:00"/>
    <n v="16"/>
    <x v="2"/>
    <x v="0"/>
    <n v="63"/>
    <x v="1"/>
    <m/>
    <m/>
    <m/>
    <m/>
    <m/>
    <m/>
    <n v="15"/>
    <m/>
    <n v="24"/>
    <n v="18"/>
    <n v="21"/>
    <n v="19"/>
    <n v="19"/>
    <m/>
    <m/>
  </r>
  <r>
    <n v="85"/>
    <x v="61"/>
    <d v="2024-05-10T00:00:00"/>
    <n v="85"/>
    <x v="2"/>
    <x v="2"/>
    <n v="458"/>
    <x v="1"/>
    <m/>
    <m/>
    <m/>
    <m/>
    <m/>
    <m/>
    <n v="15"/>
    <m/>
    <n v="18"/>
    <n v="17"/>
    <n v="23"/>
    <n v="17"/>
    <n v="15"/>
    <m/>
    <m/>
  </r>
  <r>
    <n v="86"/>
    <x v="35"/>
    <d v="2024-05-01T00:00:00"/>
    <n v="65"/>
    <x v="1"/>
    <x v="3"/>
    <n v="245"/>
    <x v="1"/>
    <n v="18"/>
    <n v="32"/>
    <n v="14"/>
    <n v="22"/>
    <m/>
    <n v="28"/>
    <n v="16"/>
    <n v="21"/>
    <m/>
    <m/>
    <m/>
    <m/>
    <m/>
    <m/>
    <m/>
  </r>
  <r>
    <n v="87"/>
    <x v="35"/>
    <d v="2024-05-12T00:00:00"/>
    <n v="76"/>
    <x v="4"/>
    <x v="4"/>
    <n v="320"/>
    <x v="3"/>
    <m/>
    <m/>
    <m/>
    <m/>
    <m/>
    <m/>
    <n v="16"/>
    <n v="16"/>
    <n v="20"/>
    <n v="24"/>
    <m/>
    <m/>
    <n v="18"/>
    <n v="19"/>
    <n v="24"/>
  </r>
  <r>
    <n v="88"/>
    <x v="62"/>
    <d v="2024-04-29T00:00:00"/>
    <n v="22"/>
    <x v="0"/>
    <x v="4"/>
    <n v="148"/>
    <x v="1"/>
    <n v="14"/>
    <n v="31"/>
    <n v="21"/>
    <n v="16"/>
    <n v="15"/>
    <m/>
    <m/>
    <m/>
    <m/>
    <m/>
    <m/>
    <m/>
    <m/>
    <m/>
    <m/>
  </r>
  <r>
    <n v="89"/>
    <x v="63"/>
    <d v="2024-05-20T00:00:00"/>
    <n v="110"/>
    <x v="1"/>
    <x v="2"/>
    <n v="76"/>
    <x v="2"/>
    <n v="14"/>
    <n v="48"/>
    <n v="21"/>
    <n v="20"/>
    <m/>
    <n v="46"/>
    <n v="20"/>
    <n v="15"/>
    <m/>
    <m/>
    <m/>
    <m/>
    <m/>
    <m/>
    <m/>
  </r>
  <r>
    <n v="90"/>
    <x v="64"/>
    <d v="2024-05-28T00:00:00"/>
    <n v="34"/>
    <x v="4"/>
    <x v="1"/>
    <n v="184"/>
    <x v="1"/>
    <m/>
    <m/>
    <m/>
    <m/>
    <m/>
    <m/>
    <n v="18"/>
    <n v="21"/>
    <n v="23"/>
    <n v="21"/>
    <m/>
    <m/>
    <n v="22"/>
    <n v="19"/>
    <n v="15"/>
  </r>
  <r>
    <n v="91"/>
    <x v="65"/>
    <d v="2024-05-23T00:00:00"/>
    <n v="59"/>
    <x v="3"/>
    <x v="3"/>
    <n v="336"/>
    <x v="3"/>
    <n v="16"/>
    <n v="25"/>
    <n v="16"/>
    <n v="23"/>
    <n v="14"/>
    <n v="34"/>
    <n v="16"/>
    <m/>
    <n v="20"/>
    <n v="24"/>
    <m/>
    <m/>
    <m/>
    <m/>
    <m/>
  </r>
  <r>
    <n v="92"/>
    <x v="66"/>
    <d v="2024-05-01T00:00:00"/>
    <n v="59"/>
    <x v="4"/>
    <x v="2"/>
    <n v="368"/>
    <x v="1"/>
    <m/>
    <m/>
    <m/>
    <m/>
    <m/>
    <m/>
    <n v="24"/>
    <n v="24"/>
    <n v="14"/>
    <n v="19"/>
    <m/>
    <m/>
    <n v="23"/>
    <n v="19"/>
    <n v="23"/>
  </r>
  <r>
    <n v="93"/>
    <x v="64"/>
    <d v="2024-05-15T00:00:00"/>
    <n v="21"/>
    <x v="3"/>
    <x v="0"/>
    <n v="408"/>
    <x v="2"/>
    <n v="14"/>
    <n v="22"/>
    <n v="23"/>
    <n v="21"/>
    <n v="21"/>
    <n v="41"/>
    <n v="19"/>
    <m/>
    <n v="20"/>
    <n v="22"/>
    <m/>
    <m/>
    <m/>
    <m/>
    <m/>
  </r>
  <r>
    <n v="94"/>
    <x v="67"/>
    <d v="2024-05-19T00:00:00"/>
    <n v="137"/>
    <x v="0"/>
    <x v="1"/>
    <n v="175"/>
    <x v="0"/>
    <n v="16"/>
    <n v="20"/>
    <n v="22"/>
    <n v="24"/>
    <n v="23"/>
    <m/>
    <m/>
    <m/>
    <m/>
    <m/>
    <m/>
    <m/>
    <m/>
    <m/>
    <m/>
  </r>
  <r>
    <n v="95"/>
    <x v="62"/>
    <d v="2024-05-12T00:00:00"/>
    <n v="35"/>
    <x v="1"/>
    <x v="2"/>
    <n v="189"/>
    <x v="4"/>
    <n v="14"/>
    <n v="49"/>
    <n v="19"/>
    <n v="14"/>
    <m/>
    <n v="33"/>
    <n v="23"/>
    <n v="20"/>
    <m/>
    <m/>
    <m/>
    <m/>
    <m/>
    <m/>
    <m/>
  </r>
  <r>
    <n v="96"/>
    <x v="0"/>
    <d v="2024-05-03T00:00:00"/>
    <n v="112"/>
    <x v="0"/>
    <x v="4"/>
    <n v="380"/>
    <x v="1"/>
    <n v="14"/>
    <n v="26"/>
    <n v="23"/>
    <n v="21"/>
    <n v="15"/>
    <m/>
    <m/>
    <m/>
    <m/>
    <m/>
    <m/>
    <m/>
    <m/>
    <m/>
    <m/>
  </r>
  <r>
    <n v="97"/>
    <x v="50"/>
    <d v="2024-05-20T00:00:00"/>
    <n v="130"/>
    <x v="2"/>
    <x v="4"/>
    <n v="265"/>
    <x v="1"/>
    <m/>
    <m/>
    <m/>
    <m/>
    <m/>
    <m/>
    <n v="17"/>
    <m/>
    <n v="19"/>
    <n v="17"/>
    <n v="20"/>
    <n v="21"/>
    <n v="24"/>
    <m/>
    <m/>
  </r>
  <r>
    <n v="98"/>
    <x v="15"/>
    <d v="2024-05-28T00:00:00"/>
    <n v="121"/>
    <x v="4"/>
    <x v="0"/>
    <n v="411"/>
    <x v="3"/>
    <m/>
    <m/>
    <m/>
    <m/>
    <m/>
    <m/>
    <n v="14"/>
    <n v="15"/>
    <n v="18"/>
    <n v="19"/>
    <m/>
    <m/>
    <n v="15"/>
    <n v="21"/>
    <n v="23"/>
  </r>
  <r>
    <n v="99"/>
    <x v="2"/>
    <d v="2024-05-24T00:00:00"/>
    <n v="122"/>
    <x v="3"/>
    <x v="2"/>
    <n v="430"/>
    <x v="2"/>
    <n v="14"/>
    <n v="39"/>
    <n v="20"/>
    <n v="24"/>
    <n v="15"/>
    <n v="30"/>
    <n v="21"/>
    <m/>
    <n v="19"/>
    <n v="23"/>
    <m/>
    <m/>
    <m/>
    <m/>
    <m/>
  </r>
  <r>
    <n v="100"/>
    <x v="68"/>
    <d v="2024-05-25T00:00:00"/>
    <n v="88"/>
    <x v="3"/>
    <x v="1"/>
    <n v="126"/>
    <x v="1"/>
    <n v="17"/>
    <n v="28"/>
    <n v="15"/>
    <n v="23"/>
    <n v="19"/>
    <n v="43"/>
    <n v="17"/>
    <m/>
    <n v="16"/>
    <n v="19"/>
    <m/>
    <m/>
    <m/>
    <m/>
    <m/>
  </r>
  <r>
    <n v="101"/>
    <x v="69"/>
    <d v="2024-04-30T00:00:00"/>
    <n v="40"/>
    <x v="0"/>
    <x v="3"/>
    <n v="232"/>
    <x v="4"/>
    <n v="18"/>
    <n v="21"/>
    <n v="21"/>
    <n v="24"/>
    <n v="20"/>
    <m/>
    <m/>
    <m/>
    <m/>
    <m/>
    <m/>
    <m/>
    <m/>
    <m/>
    <m/>
  </r>
  <r>
    <n v="102"/>
    <x v="40"/>
    <d v="2024-05-21T00:00:00"/>
    <n v="32"/>
    <x v="3"/>
    <x v="4"/>
    <n v="182"/>
    <x v="1"/>
    <n v="18"/>
    <n v="43"/>
    <n v="17"/>
    <n v="17"/>
    <n v="18"/>
    <n v="46"/>
    <n v="20"/>
    <m/>
    <n v="24"/>
    <n v="23"/>
    <m/>
    <m/>
    <m/>
    <m/>
    <m/>
  </r>
  <r>
    <n v="103"/>
    <x v="70"/>
    <d v="2024-05-16T00:00:00"/>
    <n v="101"/>
    <x v="1"/>
    <x v="2"/>
    <n v="442"/>
    <x v="0"/>
    <n v="20"/>
    <n v="34"/>
    <n v="21"/>
    <n v="22"/>
    <m/>
    <n v="23"/>
    <n v="22"/>
    <n v="23"/>
    <m/>
    <m/>
    <m/>
    <m/>
    <m/>
    <m/>
    <m/>
  </r>
  <r>
    <n v="104"/>
    <x v="30"/>
    <d v="2024-05-11T00:00:00"/>
    <n v="20"/>
    <x v="3"/>
    <x v="4"/>
    <n v="245"/>
    <x v="2"/>
    <n v="18"/>
    <n v="22"/>
    <n v="17"/>
    <n v="14"/>
    <n v="18"/>
    <n v="23"/>
    <n v="15"/>
    <m/>
    <n v="19"/>
    <n v="21"/>
    <m/>
    <m/>
    <m/>
    <m/>
    <m/>
  </r>
  <r>
    <n v="105"/>
    <x v="71"/>
    <d v="2024-05-26T00:00:00"/>
    <n v="106"/>
    <x v="3"/>
    <x v="4"/>
    <n v="425"/>
    <x v="2"/>
    <n v="18"/>
    <n v="32"/>
    <n v="18"/>
    <n v="24"/>
    <n v="21"/>
    <n v="20"/>
    <n v="15"/>
    <m/>
    <n v="24"/>
    <n v="20"/>
    <m/>
    <m/>
    <m/>
    <m/>
    <m/>
  </r>
  <r>
    <n v="106"/>
    <x v="34"/>
    <d v="2024-05-14T00:00:00"/>
    <n v="46"/>
    <x v="4"/>
    <x v="1"/>
    <n v="436"/>
    <x v="0"/>
    <m/>
    <m/>
    <m/>
    <m/>
    <m/>
    <m/>
    <n v="17"/>
    <n v="17"/>
    <n v="16"/>
    <n v="14"/>
    <m/>
    <m/>
    <n v="20"/>
    <n v="17"/>
    <n v="16"/>
  </r>
  <r>
    <n v="107"/>
    <x v="72"/>
    <d v="2024-04-29T00:00:00"/>
    <n v="60"/>
    <x v="0"/>
    <x v="4"/>
    <n v="360"/>
    <x v="1"/>
    <n v="14"/>
    <n v="41"/>
    <n v="18"/>
    <n v="15"/>
    <n v="16"/>
    <m/>
    <m/>
    <m/>
    <m/>
    <m/>
    <m/>
    <m/>
    <m/>
    <m/>
    <m/>
  </r>
  <r>
    <n v="108"/>
    <x v="63"/>
    <d v="2024-05-26T00:00:00"/>
    <n v="116"/>
    <x v="1"/>
    <x v="4"/>
    <n v="452"/>
    <x v="1"/>
    <n v="20"/>
    <n v="21"/>
    <n v="21"/>
    <n v="24"/>
    <m/>
    <n v="43"/>
    <n v="16"/>
    <n v="18"/>
    <m/>
    <m/>
    <m/>
    <m/>
    <m/>
    <m/>
    <m/>
  </r>
  <r>
    <n v="109"/>
    <x v="60"/>
    <d v="2024-05-25T00:00:00"/>
    <n v="39"/>
    <x v="1"/>
    <x v="0"/>
    <n v="288"/>
    <x v="3"/>
    <n v="19"/>
    <n v="49"/>
    <n v="19"/>
    <n v="14"/>
    <m/>
    <n v="23"/>
    <n v="24"/>
    <n v="17"/>
    <m/>
    <m/>
    <m/>
    <m/>
    <m/>
    <m/>
    <m/>
  </r>
  <r>
    <n v="110"/>
    <x v="73"/>
    <d v="2024-05-03T00:00:00"/>
    <n v="57"/>
    <x v="2"/>
    <x v="3"/>
    <n v="337"/>
    <x v="0"/>
    <m/>
    <m/>
    <m/>
    <m/>
    <m/>
    <m/>
    <n v="24"/>
    <m/>
    <n v="24"/>
    <n v="19"/>
    <n v="18"/>
    <n v="24"/>
    <n v="19"/>
    <m/>
    <m/>
  </r>
  <r>
    <n v="111"/>
    <x v="2"/>
    <d v="2024-05-14T00:00:00"/>
    <n v="112"/>
    <x v="0"/>
    <x v="2"/>
    <n v="296"/>
    <x v="3"/>
    <n v="21"/>
    <n v="20"/>
    <n v="20"/>
    <n v="18"/>
    <n v="14"/>
    <m/>
    <m/>
    <m/>
    <m/>
    <m/>
    <m/>
    <m/>
    <m/>
    <m/>
    <m/>
  </r>
  <r>
    <n v="112"/>
    <x v="74"/>
    <d v="2024-05-16T00:00:00"/>
    <n v="102"/>
    <x v="1"/>
    <x v="1"/>
    <n v="298"/>
    <x v="0"/>
    <n v="15"/>
    <n v="34"/>
    <n v="15"/>
    <n v="15"/>
    <m/>
    <n v="48"/>
    <n v="20"/>
    <n v="15"/>
    <m/>
    <m/>
    <m/>
    <m/>
    <m/>
    <m/>
    <m/>
  </r>
  <r>
    <n v="113"/>
    <x v="75"/>
    <d v="2024-05-22T00:00:00"/>
    <n v="89"/>
    <x v="1"/>
    <x v="3"/>
    <n v="221"/>
    <x v="2"/>
    <n v="19"/>
    <n v="26"/>
    <n v="18"/>
    <n v="21"/>
    <m/>
    <n v="32"/>
    <n v="23"/>
    <n v="16"/>
    <m/>
    <m/>
    <m/>
    <m/>
    <m/>
    <m/>
    <m/>
  </r>
  <r>
    <n v="114"/>
    <x v="20"/>
    <d v="2024-05-22T00:00:00"/>
    <n v="34"/>
    <x v="1"/>
    <x v="0"/>
    <n v="151"/>
    <x v="3"/>
    <n v="15"/>
    <n v="31"/>
    <n v="18"/>
    <n v="24"/>
    <m/>
    <n v="30"/>
    <n v="21"/>
    <n v="22"/>
    <m/>
    <m/>
    <m/>
    <m/>
    <m/>
    <m/>
    <m/>
  </r>
  <r>
    <n v="115"/>
    <x v="8"/>
    <d v="2024-05-28T00:00:00"/>
    <n v="65"/>
    <x v="3"/>
    <x v="1"/>
    <n v="324"/>
    <x v="2"/>
    <n v="18"/>
    <n v="23"/>
    <n v="21"/>
    <n v="21"/>
    <n v="23"/>
    <n v="46"/>
    <n v="22"/>
    <m/>
    <n v="17"/>
    <n v="23"/>
    <m/>
    <m/>
    <m/>
    <m/>
    <m/>
  </r>
  <r>
    <n v="116"/>
    <x v="17"/>
    <d v="2024-05-03T00:00:00"/>
    <n v="45"/>
    <x v="3"/>
    <x v="2"/>
    <n v="178"/>
    <x v="1"/>
    <n v="14"/>
    <n v="30"/>
    <n v="24"/>
    <n v="17"/>
    <n v="17"/>
    <n v="48"/>
    <n v="21"/>
    <m/>
    <n v="18"/>
    <n v="20"/>
    <m/>
    <m/>
    <m/>
    <m/>
    <m/>
  </r>
  <r>
    <n v="117"/>
    <x v="14"/>
    <d v="2024-05-28T00:00:00"/>
    <n v="111"/>
    <x v="2"/>
    <x v="4"/>
    <n v="475"/>
    <x v="3"/>
    <m/>
    <m/>
    <m/>
    <m/>
    <m/>
    <m/>
    <n v="14"/>
    <m/>
    <n v="18"/>
    <n v="16"/>
    <n v="20"/>
    <n v="18"/>
    <n v="22"/>
    <m/>
    <m/>
  </r>
  <r>
    <n v="118"/>
    <x v="76"/>
    <d v="2024-05-04T00:00:00"/>
    <n v="70"/>
    <x v="0"/>
    <x v="2"/>
    <n v="141"/>
    <x v="0"/>
    <n v="15"/>
    <n v="45"/>
    <n v="20"/>
    <n v="21"/>
    <n v="19"/>
    <m/>
    <m/>
    <m/>
    <m/>
    <m/>
    <m/>
    <m/>
    <m/>
    <m/>
    <m/>
  </r>
  <r>
    <n v="119"/>
    <x v="42"/>
    <d v="2024-05-26T00:00:00"/>
    <n v="114"/>
    <x v="3"/>
    <x v="3"/>
    <n v="467"/>
    <x v="0"/>
    <n v="21"/>
    <n v="25"/>
    <n v="17"/>
    <n v="18"/>
    <n v="17"/>
    <n v="35"/>
    <n v="14"/>
    <m/>
    <n v="15"/>
    <n v="17"/>
    <m/>
    <m/>
    <m/>
    <m/>
    <m/>
  </r>
  <r>
    <n v="120"/>
    <x v="21"/>
    <d v="2024-05-16T00:00:00"/>
    <n v="33"/>
    <x v="3"/>
    <x v="1"/>
    <n v="229"/>
    <x v="1"/>
    <n v="19"/>
    <n v="37"/>
    <n v="24"/>
    <n v="18"/>
    <n v="19"/>
    <n v="23"/>
    <n v="16"/>
    <m/>
    <n v="18"/>
    <n v="14"/>
    <m/>
    <m/>
    <m/>
    <m/>
    <m/>
  </r>
  <r>
    <n v="121"/>
    <x v="77"/>
    <d v="2024-05-08T00:00:00"/>
    <n v="104"/>
    <x v="3"/>
    <x v="3"/>
    <n v="355"/>
    <x v="4"/>
    <n v="19"/>
    <n v="27"/>
    <n v="16"/>
    <n v="18"/>
    <n v="23"/>
    <n v="31"/>
    <n v="21"/>
    <m/>
    <n v="24"/>
    <n v="22"/>
    <m/>
    <m/>
    <m/>
    <m/>
    <m/>
  </r>
  <r>
    <n v="122"/>
    <x v="56"/>
    <d v="2024-05-05T00:00:00"/>
    <n v="64"/>
    <x v="3"/>
    <x v="1"/>
    <n v="211"/>
    <x v="1"/>
    <n v="16"/>
    <n v="20"/>
    <n v="14"/>
    <n v="24"/>
    <n v="17"/>
    <n v="28"/>
    <n v="18"/>
    <m/>
    <n v="19"/>
    <n v="19"/>
    <m/>
    <m/>
    <m/>
    <m/>
    <m/>
  </r>
  <r>
    <n v="123"/>
    <x v="78"/>
    <d v="2024-05-25T00:00:00"/>
    <n v="30"/>
    <x v="1"/>
    <x v="3"/>
    <n v="65"/>
    <x v="0"/>
    <n v="15"/>
    <n v="48"/>
    <n v="21"/>
    <n v="22"/>
    <m/>
    <n v="43"/>
    <n v="22"/>
    <n v="18"/>
    <m/>
    <m/>
    <m/>
    <m/>
    <m/>
    <m/>
    <m/>
  </r>
  <r>
    <n v="124"/>
    <x v="35"/>
    <d v="2024-05-13T00:00:00"/>
    <n v="77"/>
    <x v="3"/>
    <x v="0"/>
    <n v="421"/>
    <x v="1"/>
    <n v="20"/>
    <n v="39"/>
    <n v="22"/>
    <n v="24"/>
    <n v="14"/>
    <n v="42"/>
    <n v="14"/>
    <m/>
    <n v="22"/>
    <n v="16"/>
    <m/>
    <m/>
    <m/>
    <m/>
    <m/>
  </r>
  <r>
    <n v="125"/>
    <x v="79"/>
    <d v="2024-05-10T00:00:00"/>
    <n v="30"/>
    <x v="0"/>
    <x v="3"/>
    <n v="387"/>
    <x v="4"/>
    <n v="15"/>
    <n v="25"/>
    <n v="21"/>
    <n v="24"/>
    <n v="15"/>
    <m/>
    <m/>
    <m/>
    <m/>
    <m/>
    <m/>
    <m/>
    <m/>
    <m/>
    <m/>
  </r>
  <r>
    <n v="126"/>
    <x v="29"/>
    <d v="2024-04-29T00:00:00"/>
    <n v="71"/>
    <x v="4"/>
    <x v="4"/>
    <n v="454"/>
    <x v="1"/>
    <m/>
    <m/>
    <m/>
    <m/>
    <m/>
    <m/>
    <n v="18"/>
    <n v="20"/>
    <n v="18"/>
    <n v="17"/>
    <m/>
    <m/>
    <n v="14"/>
    <n v="14"/>
    <n v="14"/>
  </r>
  <r>
    <n v="127"/>
    <x v="80"/>
    <d v="2024-05-05T00:00:00"/>
    <n v="20"/>
    <x v="2"/>
    <x v="2"/>
    <n v="227"/>
    <x v="0"/>
    <m/>
    <m/>
    <m/>
    <m/>
    <m/>
    <m/>
    <n v="18"/>
    <m/>
    <n v="18"/>
    <n v="20"/>
    <n v="20"/>
    <n v="14"/>
    <n v="14"/>
    <m/>
    <m/>
  </r>
  <r>
    <n v="128"/>
    <x v="81"/>
    <d v="2024-05-19T00:00:00"/>
    <n v="50"/>
    <x v="2"/>
    <x v="2"/>
    <n v="254"/>
    <x v="1"/>
    <m/>
    <m/>
    <m/>
    <m/>
    <m/>
    <m/>
    <n v="15"/>
    <m/>
    <n v="20"/>
    <n v="17"/>
    <n v="16"/>
    <n v="20"/>
    <n v="24"/>
    <m/>
    <m/>
  </r>
  <r>
    <n v="129"/>
    <x v="82"/>
    <d v="2024-05-06T00:00:00"/>
    <n v="39"/>
    <x v="2"/>
    <x v="3"/>
    <n v="487"/>
    <x v="3"/>
    <m/>
    <m/>
    <m/>
    <m/>
    <m/>
    <m/>
    <n v="19"/>
    <m/>
    <n v="15"/>
    <n v="22"/>
    <n v="21"/>
    <n v="20"/>
    <n v="15"/>
    <m/>
    <m/>
  </r>
  <r>
    <n v="130"/>
    <x v="58"/>
    <d v="2024-05-26T00:00:00"/>
    <n v="36"/>
    <x v="0"/>
    <x v="2"/>
    <n v="57"/>
    <x v="4"/>
    <n v="20"/>
    <n v="31"/>
    <n v="14"/>
    <n v="18"/>
    <n v="17"/>
    <m/>
    <m/>
    <m/>
    <m/>
    <m/>
    <m/>
    <m/>
    <m/>
    <m/>
    <m/>
  </r>
  <r>
    <n v="131"/>
    <x v="38"/>
    <d v="2024-05-20T00:00:00"/>
    <n v="76"/>
    <x v="3"/>
    <x v="4"/>
    <n v="252"/>
    <x v="3"/>
    <n v="18"/>
    <n v="26"/>
    <n v="23"/>
    <n v="16"/>
    <n v="18"/>
    <n v="35"/>
    <n v="16"/>
    <m/>
    <n v="19"/>
    <n v="21"/>
    <m/>
    <m/>
    <m/>
    <m/>
    <m/>
  </r>
  <r>
    <n v="132"/>
    <x v="83"/>
    <d v="2024-05-07T00:00:00"/>
    <n v="25"/>
    <x v="4"/>
    <x v="4"/>
    <n v="166"/>
    <x v="3"/>
    <m/>
    <m/>
    <m/>
    <m/>
    <m/>
    <m/>
    <n v="15"/>
    <n v="20"/>
    <n v="20"/>
    <n v="23"/>
    <m/>
    <m/>
    <n v="19"/>
    <n v="15"/>
    <n v="24"/>
  </r>
  <r>
    <n v="133"/>
    <x v="11"/>
    <d v="2024-05-14T00:00:00"/>
    <n v="66"/>
    <x v="1"/>
    <x v="1"/>
    <n v="320"/>
    <x v="1"/>
    <n v="14"/>
    <n v="33"/>
    <n v="15"/>
    <n v="21"/>
    <m/>
    <n v="33"/>
    <n v="23"/>
    <n v="21"/>
    <m/>
    <m/>
    <m/>
    <m/>
    <m/>
    <m/>
    <m/>
  </r>
  <r>
    <n v="134"/>
    <x v="84"/>
    <d v="2024-05-25T00:00:00"/>
    <n v="69"/>
    <x v="0"/>
    <x v="1"/>
    <n v="66"/>
    <x v="4"/>
    <n v="18"/>
    <n v="27"/>
    <n v="22"/>
    <n v="17"/>
    <n v="24"/>
    <m/>
    <m/>
    <m/>
    <m/>
    <m/>
    <m/>
    <m/>
    <m/>
    <m/>
    <m/>
  </r>
  <r>
    <n v="135"/>
    <x v="85"/>
    <d v="2024-05-14T00:00:00"/>
    <n v="27"/>
    <x v="3"/>
    <x v="1"/>
    <n v="328"/>
    <x v="4"/>
    <n v="24"/>
    <n v="40"/>
    <n v="24"/>
    <n v="18"/>
    <n v="16"/>
    <n v="35"/>
    <n v="18"/>
    <m/>
    <n v="16"/>
    <n v="24"/>
    <m/>
    <m/>
    <m/>
    <m/>
    <m/>
  </r>
  <r>
    <n v="136"/>
    <x v="86"/>
    <d v="2024-05-12T00:00:00"/>
    <n v="123"/>
    <x v="3"/>
    <x v="1"/>
    <n v="207"/>
    <x v="3"/>
    <n v="21"/>
    <n v="22"/>
    <n v="18"/>
    <n v="23"/>
    <n v="24"/>
    <n v="27"/>
    <n v="20"/>
    <m/>
    <n v="15"/>
    <n v="22"/>
    <m/>
    <m/>
    <m/>
    <m/>
    <m/>
  </r>
  <r>
    <n v="137"/>
    <x v="14"/>
    <d v="2024-05-27T00:00:00"/>
    <n v="110"/>
    <x v="2"/>
    <x v="2"/>
    <n v="290"/>
    <x v="4"/>
    <m/>
    <m/>
    <m/>
    <m/>
    <m/>
    <m/>
    <n v="16"/>
    <m/>
    <n v="14"/>
    <n v="20"/>
    <n v="15"/>
    <n v="18"/>
    <n v="20"/>
    <m/>
    <m/>
  </r>
  <r>
    <n v="138"/>
    <x v="87"/>
    <d v="2024-05-19T00:00:00"/>
    <n v="40"/>
    <x v="4"/>
    <x v="4"/>
    <n v="408"/>
    <x v="0"/>
    <m/>
    <m/>
    <m/>
    <m/>
    <m/>
    <m/>
    <n v="18"/>
    <n v="21"/>
    <n v="22"/>
    <n v="17"/>
    <m/>
    <m/>
    <n v="19"/>
    <n v="23"/>
    <n v="19"/>
  </r>
  <r>
    <n v="139"/>
    <x v="88"/>
    <d v="2024-05-15T00:00:00"/>
    <n v="112"/>
    <x v="4"/>
    <x v="4"/>
    <n v="396"/>
    <x v="4"/>
    <m/>
    <m/>
    <m/>
    <m/>
    <m/>
    <m/>
    <n v="15"/>
    <n v="15"/>
    <n v="14"/>
    <n v="15"/>
    <m/>
    <m/>
    <n v="17"/>
    <n v="22"/>
    <n v="21"/>
  </r>
  <r>
    <n v="140"/>
    <x v="81"/>
    <d v="2024-05-23T00:00:00"/>
    <n v="54"/>
    <x v="2"/>
    <x v="0"/>
    <n v="143"/>
    <x v="3"/>
    <m/>
    <m/>
    <m/>
    <m/>
    <m/>
    <m/>
    <n v="15"/>
    <m/>
    <n v="19"/>
    <n v="18"/>
    <n v="24"/>
    <n v="16"/>
    <n v="20"/>
    <m/>
    <m/>
  </r>
  <r>
    <n v="141"/>
    <x v="89"/>
    <d v="2024-05-13T00:00:00"/>
    <n v="68"/>
    <x v="0"/>
    <x v="0"/>
    <n v="330"/>
    <x v="3"/>
    <n v="20"/>
    <n v="40"/>
    <n v="14"/>
    <n v="24"/>
    <n v="15"/>
    <m/>
    <m/>
    <m/>
    <m/>
    <m/>
    <m/>
    <m/>
    <m/>
    <m/>
    <m/>
  </r>
  <r>
    <n v="142"/>
    <x v="90"/>
    <d v="2024-04-29T00:00:00"/>
    <n v="77"/>
    <x v="0"/>
    <x v="3"/>
    <n v="444"/>
    <x v="4"/>
    <n v="23"/>
    <n v="31"/>
    <n v="15"/>
    <n v="24"/>
    <n v="24"/>
    <m/>
    <m/>
    <m/>
    <m/>
    <m/>
    <m/>
    <m/>
    <m/>
    <m/>
    <m/>
  </r>
  <r>
    <n v="143"/>
    <x v="29"/>
    <d v="2024-05-15T00:00:00"/>
    <n v="87"/>
    <x v="0"/>
    <x v="4"/>
    <n v="219"/>
    <x v="1"/>
    <n v="15"/>
    <n v="44"/>
    <n v="20"/>
    <n v="17"/>
    <n v="14"/>
    <m/>
    <m/>
    <m/>
    <m/>
    <m/>
    <m/>
    <m/>
    <m/>
    <m/>
    <m/>
  </r>
  <r>
    <n v="144"/>
    <x v="20"/>
    <d v="2024-05-14T00:00:00"/>
    <n v="26"/>
    <x v="2"/>
    <x v="2"/>
    <n v="282"/>
    <x v="3"/>
    <m/>
    <m/>
    <m/>
    <m/>
    <m/>
    <m/>
    <n v="16"/>
    <m/>
    <n v="22"/>
    <n v="14"/>
    <n v="14"/>
    <n v="24"/>
    <n v="21"/>
    <m/>
    <m/>
  </r>
  <r>
    <n v="145"/>
    <x v="80"/>
    <d v="2024-05-25T00:00:00"/>
    <n v="40"/>
    <x v="4"/>
    <x v="1"/>
    <n v="87"/>
    <x v="4"/>
    <m/>
    <m/>
    <m/>
    <m/>
    <m/>
    <m/>
    <n v="20"/>
    <n v="16"/>
    <n v="23"/>
    <n v="18"/>
    <m/>
    <m/>
    <n v="23"/>
    <n v="15"/>
    <n v="18"/>
  </r>
  <r>
    <n v="146"/>
    <x v="39"/>
    <d v="2024-05-13T00:00:00"/>
    <n v="15"/>
    <x v="3"/>
    <x v="1"/>
    <n v="339"/>
    <x v="4"/>
    <n v="15"/>
    <n v="32"/>
    <n v="18"/>
    <n v="17"/>
    <n v="14"/>
    <n v="34"/>
    <n v="18"/>
    <m/>
    <n v="18"/>
    <n v="20"/>
    <m/>
    <m/>
    <m/>
    <m/>
    <m/>
  </r>
  <r>
    <n v="147"/>
    <x v="23"/>
    <d v="2024-05-14T00:00:00"/>
    <n v="119"/>
    <x v="1"/>
    <x v="4"/>
    <n v="296"/>
    <x v="3"/>
    <n v="19"/>
    <n v="26"/>
    <n v="24"/>
    <n v="22"/>
    <m/>
    <n v="24"/>
    <n v="22"/>
    <n v="16"/>
    <m/>
    <m/>
    <m/>
    <m/>
    <m/>
    <m/>
    <m/>
  </r>
  <r>
    <n v="148"/>
    <x v="36"/>
    <d v="2024-05-15T00:00:00"/>
    <n v="128"/>
    <x v="1"/>
    <x v="0"/>
    <n v="391"/>
    <x v="3"/>
    <n v="19"/>
    <n v="38"/>
    <n v="19"/>
    <n v="18"/>
    <m/>
    <n v="50"/>
    <n v="16"/>
    <n v="23"/>
    <m/>
    <m/>
    <m/>
    <m/>
    <m/>
    <m/>
    <m/>
  </r>
  <r>
    <n v="149"/>
    <x v="66"/>
    <d v="2024-05-07T00:00:00"/>
    <n v="65"/>
    <x v="3"/>
    <x v="3"/>
    <n v="354"/>
    <x v="4"/>
    <n v="18"/>
    <n v="28"/>
    <n v="14"/>
    <n v="15"/>
    <n v="17"/>
    <n v="49"/>
    <n v="23"/>
    <m/>
    <n v="21"/>
    <n v="14"/>
    <m/>
    <m/>
    <m/>
    <m/>
    <m/>
  </r>
  <r>
    <n v="150"/>
    <x v="13"/>
    <d v="2024-05-02T00:00:00"/>
    <n v="30"/>
    <x v="2"/>
    <x v="1"/>
    <n v="91"/>
    <x v="3"/>
    <m/>
    <m/>
    <m/>
    <m/>
    <m/>
    <m/>
    <n v="16"/>
    <m/>
    <n v="20"/>
    <n v="19"/>
    <n v="18"/>
    <n v="24"/>
    <n v="21"/>
    <m/>
    <m/>
  </r>
  <r>
    <n v="151"/>
    <x v="91"/>
    <d v="2024-05-20T00:00:00"/>
    <n v="91"/>
    <x v="2"/>
    <x v="1"/>
    <n v="405"/>
    <x v="4"/>
    <m/>
    <m/>
    <m/>
    <m/>
    <m/>
    <m/>
    <n v="18"/>
    <m/>
    <n v="14"/>
    <n v="24"/>
    <n v="21"/>
    <n v="15"/>
    <n v="23"/>
    <m/>
    <m/>
  </r>
  <r>
    <n v="152"/>
    <x v="92"/>
    <d v="2024-05-05T00:00:00"/>
    <n v="94"/>
    <x v="4"/>
    <x v="1"/>
    <n v="306"/>
    <x v="1"/>
    <m/>
    <m/>
    <m/>
    <m/>
    <m/>
    <m/>
    <n v="24"/>
    <n v="16"/>
    <n v="21"/>
    <n v="17"/>
    <m/>
    <m/>
    <n v="15"/>
    <n v="17"/>
    <n v="22"/>
  </r>
  <r>
    <n v="153"/>
    <x v="72"/>
    <d v="2024-04-29T00:00:00"/>
    <n v="60"/>
    <x v="0"/>
    <x v="1"/>
    <n v="102"/>
    <x v="1"/>
    <n v="15"/>
    <n v="33"/>
    <n v="15"/>
    <n v="24"/>
    <n v="23"/>
    <m/>
    <m/>
    <m/>
    <m/>
    <m/>
    <m/>
    <m/>
    <m/>
    <m/>
    <m/>
  </r>
  <r>
    <n v="154"/>
    <x v="21"/>
    <d v="2024-05-26T00:00:00"/>
    <n v="43"/>
    <x v="4"/>
    <x v="2"/>
    <n v="471"/>
    <x v="2"/>
    <m/>
    <m/>
    <m/>
    <m/>
    <m/>
    <m/>
    <n v="17"/>
    <n v="20"/>
    <n v="15"/>
    <n v="24"/>
    <m/>
    <m/>
    <n v="18"/>
    <n v="19"/>
    <n v="22"/>
  </r>
  <r>
    <n v="155"/>
    <x v="93"/>
    <d v="2024-04-29T00:00:00"/>
    <n v="46"/>
    <x v="2"/>
    <x v="1"/>
    <n v="469"/>
    <x v="0"/>
    <m/>
    <m/>
    <m/>
    <m/>
    <m/>
    <m/>
    <n v="18"/>
    <m/>
    <n v="17"/>
    <n v="23"/>
    <n v="17"/>
    <n v="23"/>
    <n v="16"/>
    <m/>
    <m/>
  </r>
  <r>
    <n v="156"/>
    <x v="4"/>
    <d v="2024-05-24T00:00:00"/>
    <n v="86"/>
    <x v="1"/>
    <x v="3"/>
    <n v="248"/>
    <x v="1"/>
    <n v="21"/>
    <n v="46"/>
    <n v="15"/>
    <n v="15"/>
    <m/>
    <n v="21"/>
    <n v="15"/>
    <n v="21"/>
    <m/>
    <m/>
    <m/>
    <m/>
    <m/>
    <m/>
    <m/>
  </r>
  <r>
    <n v="157"/>
    <x v="59"/>
    <d v="2024-05-10T00:00:00"/>
    <n v="35"/>
    <x v="2"/>
    <x v="4"/>
    <n v="166"/>
    <x v="4"/>
    <m/>
    <m/>
    <m/>
    <m/>
    <m/>
    <m/>
    <n v="17"/>
    <m/>
    <n v="14"/>
    <n v="16"/>
    <n v="19"/>
    <n v="17"/>
    <n v="14"/>
    <m/>
    <m/>
  </r>
  <r>
    <n v="158"/>
    <x v="61"/>
    <d v="2024-05-20T00:00:00"/>
    <n v="95"/>
    <x v="2"/>
    <x v="1"/>
    <n v="84"/>
    <x v="0"/>
    <m/>
    <m/>
    <m/>
    <m/>
    <m/>
    <m/>
    <n v="15"/>
    <m/>
    <n v="24"/>
    <n v="24"/>
    <n v="24"/>
    <n v="24"/>
    <n v="17"/>
    <m/>
    <m/>
  </r>
  <r>
    <n v="159"/>
    <x v="94"/>
    <d v="2024-05-23T00:00:00"/>
    <n v="68"/>
    <x v="0"/>
    <x v="2"/>
    <n v="123"/>
    <x v="2"/>
    <n v="22"/>
    <n v="43"/>
    <n v="21"/>
    <n v="22"/>
    <n v="23"/>
    <m/>
    <m/>
    <m/>
    <m/>
    <m/>
    <m/>
    <m/>
    <m/>
    <m/>
    <m/>
  </r>
  <r>
    <n v="160"/>
    <x v="17"/>
    <d v="2024-04-30T00:00:00"/>
    <n v="42"/>
    <x v="0"/>
    <x v="3"/>
    <n v="457"/>
    <x v="3"/>
    <n v="16"/>
    <n v="46"/>
    <n v="23"/>
    <n v="23"/>
    <n v="19"/>
    <m/>
    <m/>
    <m/>
    <m/>
    <m/>
    <m/>
    <m/>
    <m/>
    <m/>
    <m/>
  </r>
  <r>
    <n v="161"/>
    <x v="16"/>
    <d v="2024-04-29T00:00:00"/>
    <n v="37"/>
    <x v="4"/>
    <x v="2"/>
    <n v="385"/>
    <x v="2"/>
    <m/>
    <m/>
    <m/>
    <m/>
    <m/>
    <m/>
    <n v="14"/>
    <n v="16"/>
    <n v="17"/>
    <n v="17"/>
    <m/>
    <m/>
    <n v="15"/>
    <n v="21"/>
    <n v="16"/>
  </r>
  <r>
    <n v="162"/>
    <x v="81"/>
    <d v="2024-05-21T00:00:00"/>
    <n v="52"/>
    <x v="0"/>
    <x v="2"/>
    <n v="254"/>
    <x v="2"/>
    <n v="24"/>
    <n v="48"/>
    <n v="22"/>
    <n v="23"/>
    <n v="24"/>
    <m/>
    <m/>
    <m/>
    <m/>
    <m/>
    <m/>
    <m/>
    <m/>
    <m/>
    <m/>
  </r>
  <r>
    <n v="163"/>
    <x v="78"/>
    <d v="2024-05-25T00:00:00"/>
    <n v="30"/>
    <x v="2"/>
    <x v="0"/>
    <n v="425"/>
    <x v="4"/>
    <m/>
    <m/>
    <m/>
    <m/>
    <m/>
    <m/>
    <n v="16"/>
    <m/>
    <n v="18"/>
    <n v="16"/>
    <n v="21"/>
    <n v="23"/>
    <n v="15"/>
    <m/>
    <m/>
  </r>
  <r>
    <n v="164"/>
    <x v="62"/>
    <d v="2024-05-21T00:00:00"/>
    <n v="44"/>
    <x v="2"/>
    <x v="4"/>
    <n v="331"/>
    <x v="1"/>
    <m/>
    <m/>
    <m/>
    <m/>
    <m/>
    <m/>
    <n v="16"/>
    <m/>
    <n v="23"/>
    <n v="14"/>
    <n v="15"/>
    <n v="17"/>
    <n v="19"/>
    <m/>
    <m/>
  </r>
  <r>
    <n v="165"/>
    <x v="53"/>
    <d v="2024-05-09T00:00:00"/>
    <n v="55"/>
    <x v="1"/>
    <x v="3"/>
    <n v="453"/>
    <x v="1"/>
    <n v="19"/>
    <n v="38"/>
    <n v="14"/>
    <n v="17"/>
    <m/>
    <n v="49"/>
    <n v="16"/>
    <n v="17"/>
    <m/>
    <m/>
    <m/>
    <m/>
    <m/>
    <m/>
    <m/>
  </r>
  <r>
    <n v="166"/>
    <x v="53"/>
    <d v="2024-05-07T00:00:00"/>
    <n v="53"/>
    <x v="0"/>
    <x v="3"/>
    <n v="264"/>
    <x v="4"/>
    <n v="17"/>
    <n v="49"/>
    <n v="23"/>
    <n v="22"/>
    <n v="23"/>
    <m/>
    <m/>
    <m/>
    <m/>
    <m/>
    <m/>
    <m/>
    <m/>
    <m/>
    <m/>
  </r>
  <r>
    <n v="167"/>
    <x v="76"/>
    <d v="2024-05-17T00:00:00"/>
    <n v="83"/>
    <x v="1"/>
    <x v="4"/>
    <n v="137"/>
    <x v="1"/>
    <n v="18"/>
    <n v="26"/>
    <n v="16"/>
    <n v="15"/>
    <m/>
    <n v="22"/>
    <n v="15"/>
    <n v="21"/>
    <m/>
    <m/>
    <m/>
    <m/>
    <m/>
    <m/>
    <m/>
  </r>
  <r>
    <n v="168"/>
    <x v="5"/>
    <d v="2024-05-26T00:00:00"/>
    <n v="61"/>
    <x v="1"/>
    <x v="1"/>
    <n v="137"/>
    <x v="0"/>
    <n v="24"/>
    <n v="43"/>
    <n v="15"/>
    <n v="22"/>
    <m/>
    <n v="39"/>
    <n v="21"/>
    <n v="15"/>
    <m/>
    <m/>
    <m/>
    <m/>
    <m/>
    <m/>
    <m/>
  </r>
  <r>
    <n v="169"/>
    <x v="32"/>
    <d v="2024-05-16T00:00:00"/>
    <n v="57"/>
    <x v="2"/>
    <x v="4"/>
    <n v="416"/>
    <x v="4"/>
    <m/>
    <m/>
    <m/>
    <m/>
    <m/>
    <m/>
    <n v="19"/>
    <m/>
    <n v="23"/>
    <n v="20"/>
    <n v="22"/>
    <n v="23"/>
    <n v="16"/>
    <m/>
    <m/>
  </r>
  <r>
    <n v="170"/>
    <x v="19"/>
    <d v="2024-05-20T00:00:00"/>
    <n v="42"/>
    <x v="3"/>
    <x v="3"/>
    <n v="235"/>
    <x v="1"/>
    <n v="18"/>
    <n v="27"/>
    <n v="14"/>
    <n v="16"/>
    <n v="19"/>
    <n v="46"/>
    <n v="20"/>
    <m/>
    <n v="20"/>
    <n v="16"/>
    <m/>
    <m/>
    <m/>
    <m/>
    <m/>
  </r>
  <r>
    <n v="171"/>
    <x v="29"/>
    <d v="2024-05-06T00:00:00"/>
    <n v="78"/>
    <x v="4"/>
    <x v="3"/>
    <n v="251"/>
    <x v="3"/>
    <m/>
    <m/>
    <m/>
    <m/>
    <m/>
    <m/>
    <n v="22"/>
    <n v="22"/>
    <n v="19"/>
    <n v="23"/>
    <m/>
    <m/>
    <n v="14"/>
    <n v="17"/>
    <n v="20"/>
  </r>
  <r>
    <n v="172"/>
    <x v="46"/>
    <d v="2024-05-09T00:00:00"/>
    <n v="12"/>
    <x v="4"/>
    <x v="4"/>
    <n v="482"/>
    <x v="0"/>
    <m/>
    <m/>
    <m/>
    <m/>
    <m/>
    <m/>
    <n v="14"/>
    <n v="15"/>
    <n v="24"/>
    <n v="24"/>
    <m/>
    <m/>
    <n v="17"/>
    <n v="24"/>
    <n v="19"/>
  </r>
  <r>
    <n v="173"/>
    <x v="33"/>
    <d v="2024-05-12T00:00:00"/>
    <n v="107"/>
    <x v="0"/>
    <x v="4"/>
    <n v="446"/>
    <x v="0"/>
    <n v="18"/>
    <n v="27"/>
    <n v="24"/>
    <n v="16"/>
    <n v="14"/>
    <m/>
    <m/>
    <m/>
    <m/>
    <m/>
    <m/>
    <m/>
    <m/>
    <m/>
    <m/>
  </r>
  <r>
    <n v="174"/>
    <x v="1"/>
    <d v="2024-05-05T00:00:00"/>
    <n v="108"/>
    <x v="4"/>
    <x v="3"/>
    <n v="475"/>
    <x v="4"/>
    <m/>
    <m/>
    <m/>
    <m/>
    <m/>
    <m/>
    <n v="17"/>
    <n v="17"/>
    <n v="19"/>
    <n v="20"/>
    <m/>
    <m/>
    <n v="23"/>
    <n v="24"/>
    <n v="21"/>
  </r>
  <r>
    <n v="175"/>
    <x v="3"/>
    <d v="2024-05-13T00:00:00"/>
    <n v="29"/>
    <x v="1"/>
    <x v="2"/>
    <n v="121"/>
    <x v="3"/>
    <n v="22"/>
    <n v="26"/>
    <n v="22"/>
    <n v="15"/>
    <m/>
    <n v="29"/>
    <n v="24"/>
    <n v="20"/>
    <m/>
    <m/>
    <m/>
    <m/>
    <m/>
    <m/>
    <m/>
  </r>
  <r>
    <n v="176"/>
    <x v="95"/>
    <d v="2024-05-04T00:00:00"/>
    <n v="81"/>
    <x v="4"/>
    <x v="1"/>
    <n v="239"/>
    <x v="1"/>
    <m/>
    <m/>
    <m/>
    <m/>
    <m/>
    <m/>
    <n v="24"/>
    <n v="20"/>
    <n v="19"/>
    <n v="19"/>
    <m/>
    <m/>
    <n v="18"/>
    <n v="15"/>
    <n v="19"/>
  </r>
  <r>
    <n v="177"/>
    <x v="2"/>
    <d v="2024-04-30T00:00:00"/>
    <n v="98"/>
    <x v="2"/>
    <x v="3"/>
    <n v="183"/>
    <x v="2"/>
    <m/>
    <m/>
    <m/>
    <m/>
    <m/>
    <m/>
    <n v="21"/>
    <m/>
    <n v="21"/>
    <n v="22"/>
    <n v="17"/>
    <n v="14"/>
    <n v="15"/>
    <m/>
    <m/>
  </r>
  <r>
    <n v="178"/>
    <x v="96"/>
    <d v="2024-05-23T00:00:00"/>
    <n v="74"/>
    <x v="0"/>
    <x v="4"/>
    <n v="95"/>
    <x v="2"/>
    <n v="19"/>
    <n v="29"/>
    <n v="21"/>
    <n v="21"/>
    <n v="20"/>
    <m/>
    <m/>
    <m/>
    <m/>
    <m/>
    <m/>
    <m/>
    <m/>
    <m/>
    <m/>
  </r>
  <r>
    <n v="179"/>
    <x v="32"/>
    <d v="2024-05-14T00:00:00"/>
    <n v="55"/>
    <x v="1"/>
    <x v="2"/>
    <n v="418"/>
    <x v="4"/>
    <n v="17"/>
    <n v="27"/>
    <n v="20"/>
    <n v="15"/>
    <m/>
    <n v="38"/>
    <n v="18"/>
    <n v="23"/>
    <m/>
    <m/>
    <m/>
    <m/>
    <m/>
    <m/>
    <m/>
  </r>
  <r>
    <n v="180"/>
    <x v="89"/>
    <d v="2024-05-15T00:00:00"/>
    <n v="70"/>
    <x v="1"/>
    <x v="0"/>
    <n v="394"/>
    <x v="1"/>
    <n v="23"/>
    <n v="24"/>
    <n v="15"/>
    <n v="23"/>
    <m/>
    <n v="36"/>
    <n v="14"/>
    <n v="20"/>
    <m/>
    <m/>
    <m/>
    <m/>
    <m/>
    <m/>
    <m/>
  </r>
  <r>
    <n v="181"/>
    <x v="6"/>
    <d v="2024-05-11T00:00:00"/>
    <n v="127"/>
    <x v="2"/>
    <x v="1"/>
    <n v="53"/>
    <x v="4"/>
    <m/>
    <m/>
    <m/>
    <m/>
    <m/>
    <m/>
    <n v="19"/>
    <m/>
    <n v="20"/>
    <n v="14"/>
    <n v="23"/>
    <n v="18"/>
    <n v="16"/>
    <m/>
    <m/>
  </r>
  <r>
    <n v="182"/>
    <x v="24"/>
    <d v="2024-05-12T00:00:00"/>
    <n v="111"/>
    <x v="1"/>
    <x v="2"/>
    <n v="259"/>
    <x v="4"/>
    <n v="17"/>
    <n v="48"/>
    <n v="15"/>
    <n v="19"/>
    <m/>
    <n v="29"/>
    <n v="24"/>
    <n v="20"/>
    <m/>
    <m/>
    <m/>
    <m/>
    <m/>
    <m/>
    <m/>
  </r>
  <r>
    <n v="183"/>
    <x v="3"/>
    <d v="2024-05-16T00:00:00"/>
    <n v="32"/>
    <x v="1"/>
    <x v="2"/>
    <n v="434"/>
    <x v="3"/>
    <n v="14"/>
    <n v="49"/>
    <n v="16"/>
    <n v="17"/>
    <m/>
    <n v="31"/>
    <n v="15"/>
    <n v="24"/>
    <m/>
    <m/>
    <m/>
    <m/>
    <m/>
    <m/>
    <m/>
  </r>
  <r>
    <n v="184"/>
    <x v="45"/>
    <d v="2024-05-07T00:00:00"/>
    <n v="107"/>
    <x v="4"/>
    <x v="1"/>
    <n v="498"/>
    <x v="2"/>
    <m/>
    <m/>
    <m/>
    <m/>
    <m/>
    <m/>
    <n v="17"/>
    <n v="22"/>
    <n v="15"/>
    <n v="15"/>
    <m/>
    <m/>
    <n v="15"/>
    <n v="19"/>
    <n v="19"/>
  </r>
  <r>
    <n v="185"/>
    <x v="97"/>
    <d v="2024-05-01T00:00:00"/>
    <n v="85"/>
    <x v="2"/>
    <x v="0"/>
    <n v="108"/>
    <x v="1"/>
    <m/>
    <m/>
    <m/>
    <m/>
    <m/>
    <m/>
    <n v="23"/>
    <m/>
    <n v="23"/>
    <n v="21"/>
    <n v="20"/>
    <n v="16"/>
    <n v="18"/>
    <m/>
    <m/>
  </r>
  <r>
    <n v="186"/>
    <x v="6"/>
    <d v="2024-05-20T00:00:00"/>
    <n v="136"/>
    <x v="0"/>
    <x v="0"/>
    <n v="342"/>
    <x v="3"/>
    <n v="20"/>
    <n v="35"/>
    <n v="22"/>
    <n v="19"/>
    <n v="17"/>
    <m/>
    <m/>
    <m/>
    <m/>
    <m/>
    <m/>
    <m/>
    <m/>
    <m/>
    <m/>
  </r>
  <r>
    <n v="187"/>
    <x v="69"/>
    <d v="2024-04-29T00:00:00"/>
    <n v="39"/>
    <x v="4"/>
    <x v="0"/>
    <n v="127"/>
    <x v="0"/>
    <m/>
    <m/>
    <m/>
    <m/>
    <m/>
    <m/>
    <n v="14"/>
    <n v="23"/>
    <n v="22"/>
    <n v="18"/>
    <m/>
    <m/>
    <n v="20"/>
    <n v="22"/>
    <n v="20"/>
  </r>
  <r>
    <n v="188"/>
    <x v="98"/>
    <d v="2024-05-22T00:00:00"/>
    <n v="92"/>
    <x v="1"/>
    <x v="0"/>
    <n v="423"/>
    <x v="2"/>
    <n v="14"/>
    <n v="37"/>
    <n v="24"/>
    <n v="19"/>
    <m/>
    <n v="33"/>
    <n v="19"/>
    <n v="18"/>
    <m/>
    <m/>
    <m/>
    <m/>
    <m/>
    <m/>
    <m/>
  </r>
  <r>
    <n v="189"/>
    <x v="44"/>
    <d v="2024-04-30T00:00:00"/>
    <n v="57"/>
    <x v="0"/>
    <x v="3"/>
    <n v="265"/>
    <x v="2"/>
    <n v="23"/>
    <n v="44"/>
    <n v="18"/>
    <n v="20"/>
    <n v="21"/>
    <m/>
    <m/>
    <m/>
    <m/>
    <m/>
    <m/>
    <m/>
    <m/>
    <m/>
    <m/>
  </r>
  <r>
    <n v="190"/>
    <x v="56"/>
    <d v="2024-05-05T00:00:00"/>
    <n v="64"/>
    <x v="1"/>
    <x v="4"/>
    <n v="316"/>
    <x v="0"/>
    <n v="24"/>
    <n v="25"/>
    <n v="18"/>
    <n v="23"/>
    <m/>
    <n v="31"/>
    <n v="20"/>
    <n v="22"/>
    <m/>
    <m/>
    <m/>
    <m/>
    <m/>
    <m/>
    <m/>
  </r>
  <r>
    <n v="191"/>
    <x v="59"/>
    <d v="2024-05-28T00:00:00"/>
    <n v="53"/>
    <x v="3"/>
    <x v="4"/>
    <n v="171"/>
    <x v="2"/>
    <n v="23"/>
    <n v="35"/>
    <n v="15"/>
    <n v="19"/>
    <n v="19"/>
    <n v="22"/>
    <n v="20"/>
    <m/>
    <n v="19"/>
    <n v="21"/>
    <m/>
    <m/>
    <m/>
    <m/>
    <m/>
  </r>
  <r>
    <n v="192"/>
    <x v="61"/>
    <d v="2024-05-21T00:00:00"/>
    <n v="96"/>
    <x v="4"/>
    <x v="2"/>
    <n v="216"/>
    <x v="0"/>
    <m/>
    <m/>
    <m/>
    <m/>
    <m/>
    <m/>
    <n v="21"/>
    <n v="24"/>
    <n v="21"/>
    <n v="18"/>
    <m/>
    <m/>
    <n v="22"/>
    <n v="18"/>
    <n v="14"/>
  </r>
  <r>
    <n v="193"/>
    <x v="13"/>
    <d v="2024-05-17T00:00:00"/>
    <n v="45"/>
    <x v="1"/>
    <x v="1"/>
    <n v="218"/>
    <x v="4"/>
    <n v="16"/>
    <n v="45"/>
    <n v="24"/>
    <n v="21"/>
    <m/>
    <n v="35"/>
    <n v="14"/>
    <n v="24"/>
    <m/>
    <m/>
    <m/>
    <m/>
    <m/>
    <m/>
    <m/>
  </r>
  <r>
    <n v="194"/>
    <x v="99"/>
    <d v="2024-05-11T00:00:00"/>
    <n v="131"/>
    <x v="3"/>
    <x v="4"/>
    <n v="346"/>
    <x v="0"/>
    <n v="24"/>
    <n v="22"/>
    <n v="19"/>
    <n v="22"/>
    <n v="14"/>
    <n v="42"/>
    <n v="17"/>
    <m/>
    <n v="24"/>
    <n v="21"/>
    <m/>
    <m/>
    <m/>
    <m/>
    <m/>
  </r>
  <r>
    <n v="195"/>
    <x v="24"/>
    <d v="2024-05-18T00:00:00"/>
    <n v="117"/>
    <x v="4"/>
    <x v="0"/>
    <n v="347"/>
    <x v="3"/>
    <m/>
    <m/>
    <m/>
    <m/>
    <m/>
    <m/>
    <n v="16"/>
    <n v="20"/>
    <n v="16"/>
    <n v="17"/>
    <m/>
    <m/>
    <n v="17"/>
    <n v="15"/>
    <n v="22"/>
  </r>
  <r>
    <n v="196"/>
    <x v="62"/>
    <d v="2024-04-29T00:00:00"/>
    <n v="22"/>
    <x v="1"/>
    <x v="0"/>
    <n v="362"/>
    <x v="4"/>
    <n v="18"/>
    <n v="27"/>
    <n v="17"/>
    <n v="16"/>
    <m/>
    <n v="34"/>
    <n v="14"/>
    <n v="22"/>
    <m/>
    <m/>
    <m/>
    <m/>
    <m/>
    <m/>
    <m/>
  </r>
  <r>
    <n v="197"/>
    <x v="100"/>
    <d v="2024-05-12T00:00:00"/>
    <n v="80"/>
    <x v="2"/>
    <x v="2"/>
    <n v="383"/>
    <x v="1"/>
    <m/>
    <m/>
    <m/>
    <m/>
    <m/>
    <m/>
    <n v="21"/>
    <m/>
    <n v="24"/>
    <n v="19"/>
    <n v="19"/>
    <n v="16"/>
    <n v="20"/>
    <m/>
    <m/>
  </r>
  <r>
    <n v="198"/>
    <x v="87"/>
    <d v="2024-05-11T00:00:00"/>
    <n v="32"/>
    <x v="1"/>
    <x v="2"/>
    <n v="421"/>
    <x v="0"/>
    <n v="20"/>
    <n v="42"/>
    <n v="15"/>
    <n v="15"/>
    <m/>
    <n v="34"/>
    <n v="22"/>
    <n v="19"/>
    <m/>
    <m/>
    <m/>
    <m/>
    <m/>
    <m/>
    <m/>
  </r>
  <r>
    <n v="199"/>
    <x v="62"/>
    <d v="2024-05-18T00:00:00"/>
    <n v="41"/>
    <x v="1"/>
    <x v="4"/>
    <n v="205"/>
    <x v="0"/>
    <n v="15"/>
    <n v="41"/>
    <n v="20"/>
    <n v="18"/>
    <m/>
    <n v="22"/>
    <n v="17"/>
    <n v="22"/>
    <m/>
    <m/>
    <m/>
    <m/>
    <m/>
    <m/>
    <m/>
  </r>
  <r>
    <n v="200"/>
    <x v="1"/>
    <d v="2024-05-02T00:00:00"/>
    <n v="105"/>
    <x v="2"/>
    <x v="3"/>
    <n v="238"/>
    <x v="3"/>
    <m/>
    <m/>
    <m/>
    <m/>
    <m/>
    <m/>
    <n v="19"/>
    <m/>
    <n v="22"/>
    <n v="21"/>
    <n v="24"/>
    <n v="18"/>
    <n v="16"/>
    <m/>
    <m/>
  </r>
  <r>
    <n v="201"/>
    <x v="78"/>
    <d v="2024-05-22T00:00:00"/>
    <n v="27"/>
    <x v="3"/>
    <x v="1"/>
    <n v="325"/>
    <x v="3"/>
    <n v="23"/>
    <n v="22"/>
    <n v="19"/>
    <n v="18"/>
    <n v="16"/>
    <n v="23"/>
    <n v="15"/>
    <m/>
    <n v="14"/>
    <n v="16"/>
    <m/>
    <m/>
    <m/>
    <m/>
    <m/>
  </r>
  <r>
    <n v="202"/>
    <x v="89"/>
    <d v="2024-05-24T00:00:00"/>
    <n v="79"/>
    <x v="4"/>
    <x v="2"/>
    <n v="118"/>
    <x v="1"/>
    <m/>
    <m/>
    <m/>
    <m/>
    <m/>
    <m/>
    <n v="19"/>
    <n v="14"/>
    <n v="20"/>
    <n v="17"/>
    <m/>
    <m/>
    <n v="23"/>
    <n v="16"/>
    <n v="18"/>
  </r>
  <r>
    <n v="203"/>
    <x v="42"/>
    <d v="2024-05-06T00:00:00"/>
    <n v="94"/>
    <x v="1"/>
    <x v="1"/>
    <n v="342"/>
    <x v="3"/>
    <n v="21"/>
    <n v="24"/>
    <n v="16"/>
    <n v="16"/>
    <m/>
    <n v="32"/>
    <n v="21"/>
    <n v="24"/>
    <m/>
    <m/>
    <m/>
    <m/>
    <m/>
    <m/>
    <m/>
  </r>
  <r>
    <n v="204"/>
    <x v="63"/>
    <d v="2024-05-13T00:00:00"/>
    <n v="103"/>
    <x v="0"/>
    <x v="1"/>
    <n v="314"/>
    <x v="3"/>
    <n v="19"/>
    <n v="25"/>
    <n v="14"/>
    <n v="17"/>
    <n v="15"/>
    <m/>
    <m/>
    <m/>
    <m/>
    <m/>
    <m/>
    <m/>
    <m/>
    <m/>
    <m/>
  </r>
  <r>
    <n v="205"/>
    <x v="37"/>
    <d v="2024-05-28T00:00:00"/>
    <n v="57"/>
    <x v="2"/>
    <x v="1"/>
    <n v="266"/>
    <x v="0"/>
    <m/>
    <m/>
    <m/>
    <m/>
    <m/>
    <m/>
    <n v="19"/>
    <m/>
    <n v="24"/>
    <n v="16"/>
    <n v="23"/>
    <n v="23"/>
    <n v="18"/>
    <m/>
    <m/>
  </r>
  <r>
    <n v="206"/>
    <x v="23"/>
    <d v="2024-05-07T00:00:00"/>
    <n v="112"/>
    <x v="0"/>
    <x v="2"/>
    <n v="429"/>
    <x v="1"/>
    <n v="23"/>
    <n v="32"/>
    <n v="16"/>
    <n v="18"/>
    <n v="14"/>
    <m/>
    <m/>
    <m/>
    <m/>
    <m/>
    <m/>
    <m/>
    <m/>
    <m/>
    <m/>
  </r>
  <r>
    <n v="207"/>
    <x v="25"/>
    <d v="2024-04-30T00:00:00"/>
    <n v="7"/>
    <x v="4"/>
    <x v="2"/>
    <n v="151"/>
    <x v="3"/>
    <m/>
    <m/>
    <m/>
    <m/>
    <m/>
    <m/>
    <n v="15"/>
    <n v="24"/>
    <n v="23"/>
    <n v="18"/>
    <m/>
    <m/>
    <n v="19"/>
    <n v="21"/>
    <n v="24"/>
  </r>
  <r>
    <n v="208"/>
    <x v="13"/>
    <d v="2024-05-03T00:00:00"/>
    <n v="31"/>
    <x v="4"/>
    <x v="2"/>
    <n v="439"/>
    <x v="0"/>
    <m/>
    <m/>
    <m/>
    <m/>
    <m/>
    <m/>
    <n v="18"/>
    <n v="14"/>
    <n v="15"/>
    <n v="18"/>
    <m/>
    <m/>
    <n v="16"/>
    <n v="19"/>
    <n v="24"/>
  </r>
  <r>
    <n v="209"/>
    <x v="50"/>
    <d v="2024-05-24T00:00:00"/>
    <n v="134"/>
    <x v="3"/>
    <x v="3"/>
    <n v="341"/>
    <x v="0"/>
    <n v="16"/>
    <n v="27"/>
    <n v="22"/>
    <n v="15"/>
    <n v="16"/>
    <n v="27"/>
    <n v="21"/>
    <m/>
    <n v="23"/>
    <n v="16"/>
    <m/>
    <m/>
    <m/>
    <m/>
    <m/>
  </r>
  <r>
    <n v="210"/>
    <x v="78"/>
    <d v="2024-04-30T00:00:00"/>
    <n v="5"/>
    <x v="4"/>
    <x v="1"/>
    <n v="80"/>
    <x v="1"/>
    <m/>
    <m/>
    <m/>
    <m/>
    <m/>
    <m/>
    <n v="23"/>
    <n v="17"/>
    <n v="21"/>
    <n v="21"/>
    <m/>
    <m/>
    <n v="19"/>
    <n v="23"/>
    <n v="17"/>
  </r>
  <r>
    <n v="211"/>
    <x v="69"/>
    <d v="2024-05-05T00:00:00"/>
    <n v="45"/>
    <x v="1"/>
    <x v="1"/>
    <n v="181"/>
    <x v="3"/>
    <n v="19"/>
    <n v="42"/>
    <n v="16"/>
    <n v="20"/>
    <m/>
    <n v="21"/>
    <n v="21"/>
    <n v="23"/>
    <m/>
    <m/>
    <m/>
    <m/>
    <m/>
    <m/>
    <m/>
  </r>
  <r>
    <n v="212"/>
    <x v="0"/>
    <d v="2024-05-08T00:00:00"/>
    <n v="117"/>
    <x v="2"/>
    <x v="4"/>
    <n v="143"/>
    <x v="2"/>
    <m/>
    <m/>
    <m/>
    <m/>
    <m/>
    <m/>
    <n v="18"/>
    <m/>
    <n v="18"/>
    <n v="17"/>
    <n v="15"/>
    <n v="17"/>
    <n v="23"/>
    <m/>
    <m/>
  </r>
  <r>
    <n v="213"/>
    <x v="73"/>
    <d v="2024-05-19T00:00:00"/>
    <n v="73"/>
    <x v="3"/>
    <x v="0"/>
    <n v="302"/>
    <x v="3"/>
    <n v="17"/>
    <n v="27"/>
    <n v="16"/>
    <n v="18"/>
    <n v="19"/>
    <n v="43"/>
    <n v="18"/>
    <m/>
    <n v="16"/>
    <n v="21"/>
    <m/>
    <m/>
    <m/>
    <m/>
    <m/>
  </r>
  <r>
    <n v="214"/>
    <x v="98"/>
    <d v="2024-05-17T00:00:00"/>
    <n v="87"/>
    <x v="2"/>
    <x v="4"/>
    <n v="84"/>
    <x v="3"/>
    <m/>
    <m/>
    <m/>
    <m/>
    <m/>
    <m/>
    <n v="18"/>
    <m/>
    <n v="22"/>
    <n v="18"/>
    <n v="22"/>
    <n v="22"/>
    <n v="16"/>
    <m/>
    <m/>
  </r>
  <r>
    <n v="215"/>
    <x v="56"/>
    <d v="2024-05-01T00:00:00"/>
    <n v="60"/>
    <x v="3"/>
    <x v="3"/>
    <n v="383"/>
    <x v="4"/>
    <n v="21"/>
    <n v="28"/>
    <n v="20"/>
    <n v="21"/>
    <n v="22"/>
    <n v="42"/>
    <n v="20"/>
    <m/>
    <n v="23"/>
    <n v="24"/>
    <m/>
    <m/>
    <m/>
    <m/>
    <m/>
  </r>
  <r>
    <n v="216"/>
    <x v="33"/>
    <d v="2024-05-16T00:00:00"/>
    <n v="111"/>
    <x v="1"/>
    <x v="3"/>
    <n v="97"/>
    <x v="0"/>
    <n v="17"/>
    <n v="36"/>
    <n v="21"/>
    <n v="14"/>
    <m/>
    <n v="48"/>
    <n v="24"/>
    <n v="24"/>
    <m/>
    <m/>
    <m/>
    <m/>
    <m/>
    <m/>
    <m/>
  </r>
  <r>
    <n v="217"/>
    <x v="41"/>
    <d v="2024-05-24T00:00:00"/>
    <n v="93"/>
    <x v="0"/>
    <x v="3"/>
    <n v="437"/>
    <x v="4"/>
    <n v="22"/>
    <n v="26"/>
    <n v="18"/>
    <n v="20"/>
    <n v="17"/>
    <m/>
    <m/>
    <m/>
    <m/>
    <m/>
    <m/>
    <m/>
    <m/>
    <m/>
    <m/>
  </r>
  <r>
    <n v="218"/>
    <x v="100"/>
    <d v="2024-05-17T00:00:00"/>
    <n v="85"/>
    <x v="3"/>
    <x v="2"/>
    <n v="319"/>
    <x v="0"/>
    <n v="17"/>
    <n v="24"/>
    <n v="23"/>
    <n v="20"/>
    <n v="15"/>
    <n v="24"/>
    <n v="16"/>
    <m/>
    <n v="24"/>
    <n v="20"/>
    <m/>
    <m/>
    <m/>
    <m/>
    <m/>
  </r>
  <r>
    <n v="219"/>
    <x v="54"/>
    <d v="2024-05-22T00:00:00"/>
    <n v="46"/>
    <x v="2"/>
    <x v="4"/>
    <n v="68"/>
    <x v="3"/>
    <m/>
    <m/>
    <m/>
    <m/>
    <m/>
    <m/>
    <n v="22"/>
    <m/>
    <n v="18"/>
    <n v="22"/>
    <n v="21"/>
    <n v="15"/>
    <n v="15"/>
    <m/>
    <m/>
  </r>
  <r>
    <n v="220"/>
    <x v="2"/>
    <d v="2024-05-21T00:00:00"/>
    <n v="119"/>
    <x v="2"/>
    <x v="2"/>
    <n v="190"/>
    <x v="3"/>
    <m/>
    <m/>
    <m/>
    <m/>
    <m/>
    <m/>
    <n v="22"/>
    <m/>
    <n v="22"/>
    <n v="18"/>
    <n v="22"/>
    <n v="16"/>
    <n v="15"/>
    <m/>
    <m/>
  </r>
  <r>
    <n v="221"/>
    <x v="78"/>
    <d v="2024-05-06T00:00:00"/>
    <n v="11"/>
    <x v="1"/>
    <x v="0"/>
    <n v="282"/>
    <x v="3"/>
    <n v="20"/>
    <n v="41"/>
    <n v="19"/>
    <n v="19"/>
    <m/>
    <n v="35"/>
    <n v="21"/>
    <n v="18"/>
    <m/>
    <m/>
    <m/>
    <m/>
    <m/>
    <m/>
    <m/>
  </r>
  <r>
    <n v="222"/>
    <x v="50"/>
    <d v="2024-05-14T00:00:00"/>
    <n v="124"/>
    <x v="4"/>
    <x v="4"/>
    <n v="422"/>
    <x v="4"/>
    <m/>
    <m/>
    <m/>
    <m/>
    <m/>
    <m/>
    <n v="19"/>
    <n v="19"/>
    <n v="23"/>
    <n v="24"/>
    <m/>
    <m/>
    <n v="24"/>
    <n v="21"/>
    <n v="23"/>
  </r>
  <r>
    <n v="223"/>
    <x v="37"/>
    <d v="2024-04-30T00:00:00"/>
    <n v="29"/>
    <x v="2"/>
    <x v="4"/>
    <n v="448"/>
    <x v="4"/>
    <m/>
    <m/>
    <m/>
    <m/>
    <m/>
    <m/>
    <n v="16"/>
    <m/>
    <n v="24"/>
    <n v="15"/>
    <n v="17"/>
    <n v="14"/>
    <n v="23"/>
    <m/>
    <m/>
  </r>
  <r>
    <n v="224"/>
    <x v="101"/>
    <d v="2024-05-17T00:00:00"/>
    <n v="111"/>
    <x v="1"/>
    <x v="0"/>
    <n v="454"/>
    <x v="0"/>
    <n v="16"/>
    <n v="34"/>
    <n v="18"/>
    <n v="16"/>
    <m/>
    <n v="47"/>
    <n v="17"/>
    <n v="22"/>
    <m/>
    <m/>
    <m/>
    <m/>
    <m/>
    <m/>
    <m/>
  </r>
  <r>
    <n v="225"/>
    <x v="54"/>
    <d v="2024-05-09T00:00:00"/>
    <n v="33"/>
    <x v="0"/>
    <x v="0"/>
    <n v="344"/>
    <x v="1"/>
    <n v="24"/>
    <n v="47"/>
    <n v="20"/>
    <n v="19"/>
    <n v="14"/>
    <m/>
    <m/>
    <m/>
    <m/>
    <m/>
    <m/>
    <m/>
    <m/>
    <m/>
    <m/>
  </r>
  <r>
    <n v="226"/>
    <x v="102"/>
    <d v="2024-05-26T00:00:00"/>
    <n v="100"/>
    <x v="2"/>
    <x v="3"/>
    <n v="422"/>
    <x v="0"/>
    <m/>
    <m/>
    <m/>
    <m/>
    <m/>
    <m/>
    <n v="21"/>
    <m/>
    <n v="24"/>
    <n v="19"/>
    <n v="16"/>
    <n v="16"/>
    <n v="20"/>
    <m/>
    <m/>
  </r>
  <r>
    <n v="227"/>
    <x v="7"/>
    <d v="2024-05-26T00:00:00"/>
    <n v="99"/>
    <x v="1"/>
    <x v="4"/>
    <n v="228"/>
    <x v="4"/>
    <n v="18"/>
    <n v="42"/>
    <n v="21"/>
    <n v="20"/>
    <m/>
    <n v="39"/>
    <n v="16"/>
    <n v="21"/>
    <m/>
    <m/>
    <m/>
    <m/>
    <m/>
    <m/>
    <m/>
  </r>
  <r>
    <n v="228"/>
    <x v="89"/>
    <d v="2024-05-15T00:00:00"/>
    <n v="70"/>
    <x v="1"/>
    <x v="3"/>
    <n v="151"/>
    <x v="1"/>
    <n v="17"/>
    <n v="42"/>
    <n v="22"/>
    <n v="21"/>
    <m/>
    <n v="35"/>
    <n v="17"/>
    <n v="23"/>
    <m/>
    <m/>
    <m/>
    <m/>
    <m/>
    <m/>
    <m/>
  </r>
  <r>
    <n v="229"/>
    <x v="44"/>
    <d v="2024-05-20T00:00:00"/>
    <n v="77"/>
    <x v="4"/>
    <x v="0"/>
    <n v="77"/>
    <x v="3"/>
    <m/>
    <m/>
    <m/>
    <m/>
    <m/>
    <m/>
    <n v="24"/>
    <n v="24"/>
    <n v="17"/>
    <n v="23"/>
    <m/>
    <m/>
    <n v="24"/>
    <n v="20"/>
    <n v="15"/>
  </r>
  <r>
    <n v="230"/>
    <x v="16"/>
    <d v="2024-05-07T00:00:00"/>
    <n v="45"/>
    <x v="1"/>
    <x v="3"/>
    <n v="296"/>
    <x v="0"/>
    <n v="23"/>
    <n v="43"/>
    <n v="16"/>
    <n v="14"/>
    <m/>
    <n v="44"/>
    <n v="16"/>
    <n v="22"/>
    <m/>
    <m/>
    <m/>
    <m/>
    <m/>
    <m/>
    <m/>
  </r>
  <r>
    <n v="231"/>
    <x v="46"/>
    <d v="2024-05-21T00:00:00"/>
    <n v="24"/>
    <x v="1"/>
    <x v="4"/>
    <n v="381"/>
    <x v="3"/>
    <n v="22"/>
    <n v="46"/>
    <n v="17"/>
    <n v="21"/>
    <m/>
    <n v="21"/>
    <n v="20"/>
    <n v="24"/>
    <m/>
    <m/>
    <m/>
    <m/>
    <m/>
    <m/>
    <m/>
  </r>
  <r>
    <n v="232"/>
    <x v="77"/>
    <d v="2024-05-21T00:00:00"/>
    <n v="117"/>
    <x v="3"/>
    <x v="3"/>
    <n v="54"/>
    <x v="3"/>
    <n v="23"/>
    <n v="38"/>
    <n v="18"/>
    <n v="15"/>
    <n v="14"/>
    <n v="41"/>
    <n v="17"/>
    <m/>
    <n v="20"/>
    <n v="20"/>
    <m/>
    <m/>
    <m/>
    <m/>
    <m/>
  </r>
  <r>
    <n v="233"/>
    <x v="103"/>
    <d v="2024-05-18T00:00:00"/>
    <n v="94"/>
    <x v="0"/>
    <x v="4"/>
    <n v="115"/>
    <x v="2"/>
    <n v="17"/>
    <n v="48"/>
    <n v="14"/>
    <n v="19"/>
    <n v="24"/>
    <m/>
    <m/>
    <m/>
    <m/>
    <m/>
    <m/>
    <m/>
    <m/>
    <m/>
    <m/>
  </r>
  <r>
    <n v="234"/>
    <x v="34"/>
    <d v="2024-05-23T00:00:00"/>
    <n v="55"/>
    <x v="3"/>
    <x v="3"/>
    <n v="415"/>
    <x v="4"/>
    <n v="19"/>
    <n v="35"/>
    <n v="21"/>
    <n v="19"/>
    <n v="17"/>
    <n v="35"/>
    <n v="23"/>
    <m/>
    <n v="20"/>
    <n v="21"/>
    <m/>
    <m/>
    <m/>
    <m/>
    <m/>
  </r>
  <r>
    <n v="235"/>
    <x v="29"/>
    <d v="2024-05-13T00:00:00"/>
    <n v="85"/>
    <x v="1"/>
    <x v="4"/>
    <n v="82"/>
    <x v="3"/>
    <n v="14"/>
    <n v="39"/>
    <n v="17"/>
    <n v="17"/>
    <m/>
    <n v="44"/>
    <n v="18"/>
    <n v="21"/>
    <m/>
    <m/>
    <m/>
    <m/>
    <m/>
    <m/>
    <m/>
  </r>
  <r>
    <n v="236"/>
    <x v="76"/>
    <d v="2024-05-21T00:00:00"/>
    <n v="87"/>
    <x v="1"/>
    <x v="3"/>
    <n v="298"/>
    <x v="3"/>
    <n v="16"/>
    <n v="33"/>
    <n v="15"/>
    <n v="24"/>
    <m/>
    <n v="31"/>
    <n v="22"/>
    <n v="15"/>
    <m/>
    <m/>
    <m/>
    <m/>
    <m/>
    <m/>
    <m/>
  </r>
  <r>
    <n v="237"/>
    <x v="55"/>
    <d v="2024-05-14T00:00:00"/>
    <n v="41"/>
    <x v="3"/>
    <x v="2"/>
    <n v="494"/>
    <x v="1"/>
    <n v="18"/>
    <n v="44"/>
    <n v="17"/>
    <n v="16"/>
    <n v="22"/>
    <n v="20"/>
    <n v="16"/>
    <m/>
    <n v="22"/>
    <n v="16"/>
    <m/>
    <m/>
    <m/>
    <m/>
    <m/>
  </r>
  <r>
    <n v="238"/>
    <x v="5"/>
    <d v="2024-05-20T00:00:00"/>
    <n v="55"/>
    <x v="1"/>
    <x v="4"/>
    <n v="437"/>
    <x v="2"/>
    <n v="24"/>
    <n v="29"/>
    <n v="16"/>
    <n v="14"/>
    <m/>
    <n v="50"/>
    <n v="18"/>
    <n v="17"/>
    <m/>
    <m/>
    <m/>
    <m/>
    <m/>
    <m/>
    <m/>
  </r>
  <r>
    <n v="239"/>
    <x v="8"/>
    <d v="2024-05-10T00:00:00"/>
    <n v="47"/>
    <x v="0"/>
    <x v="3"/>
    <n v="86"/>
    <x v="4"/>
    <n v="20"/>
    <n v="38"/>
    <n v="24"/>
    <n v="21"/>
    <n v="23"/>
    <m/>
    <m/>
    <m/>
    <m/>
    <m/>
    <m/>
    <m/>
    <m/>
    <m/>
    <m/>
  </r>
  <r>
    <n v="240"/>
    <x v="104"/>
    <d v="2024-05-02T00:00:00"/>
    <n v="32"/>
    <x v="2"/>
    <x v="1"/>
    <n v="217"/>
    <x v="4"/>
    <m/>
    <m/>
    <m/>
    <m/>
    <m/>
    <m/>
    <n v="22"/>
    <m/>
    <n v="16"/>
    <n v="19"/>
    <n v="23"/>
    <n v="23"/>
    <n v="23"/>
    <m/>
    <m/>
  </r>
  <r>
    <n v="241"/>
    <x v="62"/>
    <d v="2024-05-19T00:00:00"/>
    <n v="42"/>
    <x v="1"/>
    <x v="1"/>
    <n v="450"/>
    <x v="0"/>
    <n v="14"/>
    <n v="32"/>
    <n v="23"/>
    <n v="14"/>
    <m/>
    <n v="29"/>
    <n v="21"/>
    <n v="14"/>
    <m/>
    <m/>
    <m/>
    <m/>
    <m/>
    <m/>
    <m/>
  </r>
  <r>
    <n v="242"/>
    <x v="62"/>
    <d v="2024-05-02T00:00:00"/>
    <n v="25"/>
    <x v="1"/>
    <x v="3"/>
    <n v="125"/>
    <x v="3"/>
    <n v="20"/>
    <n v="39"/>
    <n v="14"/>
    <n v="23"/>
    <m/>
    <n v="40"/>
    <n v="23"/>
    <n v="16"/>
    <m/>
    <m/>
    <m/>
    <m/>
    <m/>
    <m/>
    <m/>
  </r>
  <r>
    <n v="243"/>
    <x v="42"/>
    <d v="2024-05-20T00:00:00"/>
    <n v="108"/>
    <x v="3"/>
    <x v="1"/>
    <n v="384"/>
    <x v="0"/>
    <n v="17"/>
    <n v="50"/>
    <n v="16"/>
    <n v="19"/>
    <n v="22"/>
    <n v="39"/>
    <n v="21"/>
    <m/>
    <n v="14"/>
    <n v="14"/>
    <m/>
    <m/>
    <m/>
    <m/>
    <m/>
  </r>
  <r>
    <n v="244"/>
    <x v="37"/>
    <d v="2024-05-26T00:00:00"/>
    <n v="55"/>
    <x v="2"/>
    <x v="0"/>
    <n v="245"/>
    <x v="2"/>
    <m/>
    <m/>
    <m/>
    <m/>
    <m/>
    <m/>
    <n v="15"/>
    <m/>
    <n v="14"/>
    <n v="16"/>
    <n v="24"/>
    <n v="18"/>
    <n v="15"/>
    <m/>
    <m/>
  </r>
  <r>
    <n v="245"/>
    <x v="64"/>
    <d v="2024-04-29T00:00:00"/>
    <n v="5"/>
    <x v="3"/>
    <x v="1"/>
    <n v="264"/>
    <x v="4"/>
    <n v="17"/>
    <n v="48"/>
    <n v="22"/>
    <n v="17"/>
    <n v="14"/>
    <n v="37"/>
    <n v="16"/>
    <m/>
    <n v="24"/>
    <n v="22"/>
    <m/>
    <m/>
    <m/>
    <m/>
    <m/>
  </r>
  <r>
    <n v="246"/>
    <x v="12"/>
    <d v="2024-05-17T00:00:00"/>
    <n v="134"/>
    <x v="0"/>
    <x v="3"/>
    <n v="140"/>
    <x v="0"/>
    <n v="19"/>
    <n v="50"/>
    <n v="21"/>
    <n v="17"/>
    <n v="19"/>
    <m/>
    <m/>
    <m/>
    <m/>
    <m/>
    <m/>
    <m/>
    <m/>
    <m/>
    <m/>
  </r>
  <r>
    <n v="247"/>
    <x v="40"/>
    <d v="2024-05-17T00:00:00"/>
    <n v="28"/>
    <x v="2"/>
    <x v="2"/>
    <n v="448"/>
    <x v="4"/>
    <m/>
    <m/>
    <m/>
    <m/>
    <m/>
    <m/>
    <n v="24"/>
    <m/>
    <n v="23"/>
    <n v="23"/>
    <n v="15"/>
    <n v="22"/>
    <n v="21"/>
    <m/>
    <m/>
  </r>
  <r>
    <n v="248"/>
    <x v="21"/>
    <d v="2024-05-25T00:00:00"/>
    <n v="42"/>
    <x v="0"/>
    <x v="4"/>
    <n v="78"/>
    <x v="4"/>
    <n v="15"/>
    <n v="36"/>
    <n v="21"/>
    <n v="22"/>
    <n v="19"/>
    <m/>
    <m/>
    <m/>
    <m/>
    <m/>
    <m/>
    <m/>
    <m/>
    <m/>
    <m/>
  </r>
  <r>
    <n v="249"/>
    <x v="46"/>
    <d v="2024-05-27T00:00:00"/>
    <n v="30"/>
    <x v="4"/>
    <x v="1"/>
    <n v="352"/>
    <x v="2"/>
    <m/>
    <m/>
    <m/>
    <m/>
    <m/>
    <m/>
    <n v="16"/>
    <n v="17"/>
    <n v="16"/>
    <n v="15"/>
    <m/>
    <m/>
    <n v="20"/>
    <n v="14"/>
    <n v="23"/>
  </r>
  <r>
    <n v="250"/>
    <x v="39"/>
    <d v="2024-05-05T00:00:00"/>
    <n v="7"/>
    <x v="0"/>
    <x v="1"/>
    <n v="394"/>
    <x v="4"/>
    <n v="19"/>
    <n v="28"/>
    <n v="24"/>
    <n v="15"/>
    <n v="19"/>
    <m/>
    <m/>
    <m/>
    <m/>
    <m/>
    <m/>
    <m/>
    <m/>
    <m/>
    <m/>
  </r>
  <r>
    <n v="251"/>
    <x v="37"/>
    <d v="2024-05-03T00:00:00"/>
    <n v="32"/>
    <x v="4"/>
    <x v="0"/>
    <n v="240"/>
    <x v="0"/>
    <m/>
    <m/>
    <m/>
    <m/>
    <m/>
    <m/>
    <n v="16"/>
    <n v="18"/>
    <n v="18"/>
    <n v="24"/>
    <m/>
    <m/>
    <n v="24"/>
    <n v="24"/>
    <n v="20"/>
  </r>
  <r>
    <n v="252"/>
    <x v="96"/>
    <d v="2024-05-07T00:00:00"/>
    <n v="58"/>
    <x v="1"/>
    <x v="3"/>
    <n v="291"/>
    <x v="0"/>
    <n v="17"/>
    <n v="39"/>
    <n v="23"/>
    <n v="16"/>
    <m/>
    <n v="39"/>
    <n v="19"/>
    <n v="23"/>
    <m/>
    <m/>
    <m/>
    <m/>
    <m/>
    <m/>
    <m/>
  </r>
  <r>
    <n v="253"/>
    <x v="57"/>
    <d v="2024-05-05T00:00:00"/>
    <n v="107"/>
    <x v="4"/>
    <x v="2"/>
    <n v="259"/>
    <x v="2"/>
    <m/>
    <m/>
    <m/>
    <m/>
    <m/>
    <m/>
    <n v="23"/>
    <n v="14"/>
    <n v="19"/>
    <n v="23"/>
    <m/>
    <m/>
    <n v="16"/>
    <n v="15"/>
    <n v="18"/>
  </r>
  <r>
    <n v="254"/>
    <x v="8"/>
    <d v="2024-05-04T00:00:00"/>
    <n v="41"/>
    <x v="2"/>
    <x v="1"/>
    <n v="276"/>
    <x v="2"/>
    <m/>
    <m/>
    <m/>
    <m/>
    <m/>
    <m/>
    <n v="18"/>
    <m/>
    <n v="24"/>
    <n v="24"/>
    <n v="17"/>
    <n v="21"/>
    <n v="17"/>
    <m/>
    <m/>
  </r>
  <r>
    <n v="255"/>
    <x v="94"/>
    <d v="2024-05-04T00:00:00"/>
    <n v="49"/>
    <x v="0"/>
    <x v="2"/>
    <n v="236"/>
    <x v="4"/>
    <n v="20"/>
    <n v="40"/>
    <n v="16"/>
    <n v="21"/>
    <n v="17"/>
    <m/>
    <m/>
    <m/>
    <m/>
    <m/>
    <m/>
    <m/>
    <m/>
    <m/>
    <m/>
  </r>
  <r>
    <n v="256"/>
    <x v="27"/>
    <d v="2024-05-23T00:00:00"/>
    <n v="135"/>
    <x v="4"/>
    <x v="2"/>
    <n v="126"/>
    <x v="2"/>
    <m/>
    <m/>
    <m/>
    <m/>
    <m/>
    <m/>
    <n v="24"/>
    <n v="18"/>
    <n v="16"/>
    <n v="21"/>
    <m/>
    <m/>
    <n v="20"/>
    <n v="23"/>
    <n v="21"/>
  </r>
  <r>
    <n v="257"/>
    <x v="105"/>
    <d v="2024-05-06T00:00:00"/>
    <n v="59"/>
    <x v="4"/>
    <x v="1"/>
    <n v="471"/>
    <x v="3"/>
    <m/>
    <m/>
    <m/>
    <m/>
    <m/>
    <m/>
    <n v="19"/>
    <n v="24"/>
    <n v="21"/>
    <n v="18"/>
    <m/>
    <m/>
    <n v="16"/>
    <n v="18"/>
    <n v="17"/>
  </r>
  <r>
    <n v="258"/>
    <x v="92"/>
    <d v="2024-05-17T00:00:00"/>
    <n v="106"/>
    <x v="0"/>
    <x v="3"/>
    <n v="110"/>
    <x v="1"/>
    <n v="15"/>
    <n v="28"/>
    <n v="15"/>
    <n v="20"/>
    <n v="18"/>
    <m/>
    <m/>
    <m/>
    <m/>
    <m/>
    <m/>
    <m/>
    <m/>
    <m/>
    <m/>
  </r>
  <r>
    <n v="259"/>
    <x v="58"/>
    <d v="2024-05-05T00:00:00"/>
    <n v="15"/>
    <x v="1"/>
    <x v="0"/>
    <n v="289"/>
    <x v="2"/>
    <n v="15"/>
    <n v="41"/>
    <n v="17"/>
    <n v="21"/>
    <m/>
    <n v="45"/>
    <n v="18"/>
    <n v="16"/>
    <m/>
    <m/>
    <m/>
    <m/>
    <m/>
    <m/>
    <m/>
  </r>
  <r>
    <n v="260"/>
    <x v="103"/>
    <d v="2024-05-12T00:00:00"/>
    <n v="88"/>
    <x v="1"/>
    <x v="4"/>
    <n v="168"/>
    <x v="3"/>
    <n v="20"/>
    <n v="30"/>
    <n v="21"/>
    <n v="19"/>
    <m/>
    <n v="36"/>
    <n v="15"/>
    <n v="22"/>
    <m/>
    <m/>
    <m/>
    <m/>
    <m/>
    <m/>
    <m/>
  </r>
  <r>
    <n v="261"/>
    <x v="52"/>
    <d v="2024-05-03T00:00:00"/>
    <n v="11"/>
    <x v="3"/>
    <x v="2"/>
    <n v="104"/>
    <x v="1"/>
    <n v="23"/>
    <n v="25"/>
    <n v="23"/>
    <n v="21"/>
    <n v="19"/>
    <n v="30"/>
    <n v="21"/>
    <m/>
    <n v="24"/>
    <n v="23"/>
    <m/>
    <m/>
    <m/>
    <m/>
    <m/>
  </r>
  <r>
    <n v="262"/>
    <x v="26"/>
    <d v="2024-05-28T00:00:00"/>
    <n v="88"/>
    <x v="2"/>
    <x v="2"/>
    <n v="279"/>
    <x v="4"/>
    <m/>
    <m/>
    <m/>
    <m/>
    <m/>
    <m/>
    <n v="16"/>
    <m/>
    <n v="24"/>
    <n v="14"/>
    <n v="23"/>
    <n v="16"/>
    <n v="22"/>
    <m/>
    <m/>
  </r>
  <r>
    <n v="263"/>
    <x v="88"/>
    <d v="2024-05-24T00:00:00"/>
    <n v="121"/>
    <x v="4"/>
    <x v="0"/>
    <n v="66"/>
    <x v="2"/>
    <m/>
    <m/>
    <m/>
    <m/>
    <m/>
    <m/>
    <n v="14"/>
    <n v="21"/>
    <n v="17"/>
    <n v="17"/>
    <m/>
    <m/>
    <n v="22"/>
    <n v="17"/>
    <n v="23"/>
  </r>
  <r>
    <n v="264"/>
    <x v="19"/>
    <d v="2024-05-06T00:00:00"/>
    <n v="28"/>
    <x v="4"/>
    <x v="4"/>
    <n v="196"/>
    <x v="1"/>
    <m/>
    <m/>
    <m/>
    <m/>
    <m/>
    <m/>
    <n v="22"/>
    <n v="24"/>
    <n v="22"/>
    <n v="24"/>
    <m/>
    <m/>
    <n v="23"/>
    <n v="14"/>
    <n v="18"/>
  </r>
  <r>
    <n v="265"/>
    <x v="98"/>
    <d v="2024-05-26T00:00:00"/>
    <n v="96"/>
    <x v="3"/>
    <x v="0"/>
    <n v="271"/>
    <x v="3"/>
    <n v="21"/>
    <n v="48"/>
    <n v="17"/>
    <n v="15"/>
    <n v="22"/>
    <n v="47"/>
    <n v="22"/>
    <m/>
    <n v="22"/>
    <n v="14"/>
    <m/>
    <m/>
    <m/>
    <m/>
    <m/>
  </r>
  <r>
    <n v="266"/>
    <x v="54"/>
    <d v="2024-05-21T00:00:00"/>
    <n v="45"/>
    <x v="0"/>
    <x v="4"/>
    <n v="483"/>
    <x v="4"/>
    <n v="20"/>
    <n v="41"/>
    <n v="22"/>
    <n v="21"/>
    <n v="23"/>
    <m/>
    <m/>
    <m/>
    <m/>
    <m/>
    <m/>
    <m/>
    <m/>
    <m/>
    <m/>
  </r>
  <r>
    <n v="267"/>
    <x v="77"/>
    <d v="2024-05-06T00:00:00"/>
    <n v="102"/>
    <x v="1"/>
    <x v="1"/>
    <n v="150"/>
    <x v="2"/>
    <n v="14"/>
    <n v="44"/>
    <n v="17"/>
    <n v="14"/>
    <m/>
    <n v="24"/>
    <n v="23"/>
    <n v="21"/>
    <m/>
    <m/>
    <m/>
    <m/>
    <m/>
    <m/>
    <m/>
  </r>
  <r>
    <n v="268"/>
    <x v="30"/>
    <d v="2024-05-17T00:00:00"/>
    <n v="26"/>
    <x v="0"/>
    <x v="0"/>
    <n v="247"/>
    <x v="4"/>
    <n v="24"/>
    <n v="38"/>
    <n v="20"/>
    <n v="16"/>
    <n v="23"/>
    <m/>
    <m/>
    <m/>
    <m/>
    <m/>
    <m/>
    <m/>
    <m/>
    <m/>
    <m/>
  </r>
  <r>
    <n v="269"/>
    <x v="82"/>
    <d v="2024-05-06T00:00:00"/>
    <n v="39"/>
    <x v="3"/>
    <x v="3"/>
    <n v="368"/>
    <x v="4"/>
    <n v="19"/>
    <n v="46"/>
    <n v="23"/>
    <n v="17"/>
    <n v="15"/>
    <n v="48"/>
    <n v="14"/>
    <m/>
    <n v="18"/>
    <n v="15"/>
    <m/>
    <m/>
    <m/>
    <m/>
    <m/>
  </r>
  <r>
    <n v="270"/>
    <x v="96"/>
    <d v="2024-05-15T00:00:00"/>
    <n v="66"/>
    <x v="4"/>
    <x v="4"/>
    <n v="335"/>
    <x v="4"/>
    <m/>
    <m/>
    <m/>
    <m/>
    <m/>
    <m/>
    <n v="20"/>
    <n v="18"/>
    <n v="24"/>
    <n v="19"/>
    <m/>
    <m/>
    <n v="14"/>
    <n v="20"/>
    <n v="21"/>
  </r>
  <r>
    <n v="271"/>
    <x v="106"/>
    <d v="2024-05-04T00:00:00"/>
    <n v="38"/>
    <x v="3"/>
    <x v="3"/>
    <n v="264"/>
    <x v="0"/>
    <n v="14"/>
    <n v="42"/>
    <n v="24"/>
    <n v="16"/>
    <n v="23"/>
    <n v="48"/>
    <n v="15"/>
    <m/>
    <n v="16"/>
    <n v="24"/>
    <m/>
    <m/>
    <m/>
    <m/>
    <m/>
  </r>
  <r>
    <n v="272"/>
    <x v="53"/>
    <d v="2024-05-28T00:00:00"/>
    <n v="74"/>
    <x v="3"/>
    <x v="1"/>
    <n v="246"/>
    <x v="2"/>
    <n v="16"/>
    <n v="48"/>
    <n v="17"/>
    <n v="24"/>
    <n v="16"/>
    <n v="35"/>
    <n v="14"/>
    <m/>
    <n v="22"/>
    <n v="15"/>
    <m/>
    <m/>
    <m/>
    <m/>
    <m/>
  </r>
  <r>
    <n v="273"/>
    <x v="62"/>
    <d v="2024-05-03T00:00:00"/>
    <n v="26"/>
    <x v="4"/>
    <x v="1"/>
    <n v="437"/>
    <x v="1"/>
    <m/>
    <m/>
    <m/>
    <m/>
    <m/>
    <m/>
    <n v="20"/>
    <n v="23"/>
    <n v="18"/>
    <n v="18"/>
    <m/>
    <m/>
    <n v="22"/>
    <n v="24"/>
    <n v="15"/>
  </r>
  <r>
    <n v="274"/>
    <x v="15"/>
    <d v="2024-05-08T00:00:00"/>
    <n v="101"/>
    <x v="3"/>
    <x v="0"/>
    <n v="141"/>
    <x v="3"/>
    <n v="18"/>
    <n v="47"/>
    <n v="24"/>
    <n v="17"/>
    <n v="19"/>
    <n v="50"/>
    <n v="17"/>
    <m/>
    <n v="21"/>
    <n v="15"/>
    <m/>
    <m/>
    <m/>
    <m/>
    <m/>
  </r>
  <r>
    <n v="275"/>
    <x v="107"/>
    <d v="2024-05-03T00:00:00"/>
    <n v="122"/>
    <x v="1"/>
    <x v="3"/>
    <n v="185"/>
    <x v="1"/>
    <n v="18"/>
    <n v="27"/>
    <n v="23"/>
    <n v="17"/>
    <m/>
    <n v="32"/>
    <n v="23"/>
    <n v="20"/>
    <m/>
    <m/>
    <m/>
    <m/>
    <m/>
    <m/>
    <m/>
  </r>
  <r>
    <n v="276"/>
    <x v="45"/>
    <d v="2024-05-09T00:00:00"/>
    <n v="109"/>
    <x v="2"/>
    <x v="3"/>
    <n v="237"/>
    <x v="3"/>
    <m/>
    <m/>
    <m/>
    <m/>
    <m/>
    <m/>
    <n v="22"/>
    <m/>
    <n v="21"/>
    <n v="17"/>
    <n v="18"/>
    <n v="14"/>
    <n v="21"/>
    <m/>
    <m/>
  </r>
  <r>
    <n v="277"/>
    <x v="15"/>
    <d v="2024-05-25T00:00:00"/>
    <n v="118"/>
    <x v="4"/>
    <x v="0"/>
    <n v="358"/>
    <x v="3"/>
    <m/>
    <m/>
    <m/>
    <m/>
    <m/>
    <m/>
    <n v="23"/>
    <n v="24"/>
    <n v="15"/>
    <n v="18"/>
    <m/>
    <m/>
    <n v="15"/>
    <n v="15"/>
    <n v="24"/>
  </r>
  <r>
    <n v="278"/>
    <x v="31"/>
    <d v="2024-05-23T00:00:00"/>
    <n v="102"/>
    <x v="1"/>
    <x v="3"/>
    <n v="85"/>
    <x v="1"/>
    <n v="14"/>
    <n v="50"/>
    <n v="18"/>
    <n v="19"/>
    <m/>
    <n v="30"/>
    <n v="17"/>
    <n v="15"/>
    <m/>
    <m/>
    <m/>
    <m/>
    <m/>
    <m/>
    <m/>
  </r>
  <r>
    <n v="279"/>
    <x v="36"/>
    <d v="2024-05-03T00:00:00"/>
    <n v="116"/>
    <x v="3"/>
    <x v="0"/>
    <n v="492"/>
    <x v="4"/>
    <n v="18"/>
    <n v="22"/>
    <n v="18"/>
    <n v="15"/>
    <n v="14"/>
    <n v="32"/>
    <n v="23"/>
    <m/>
    <n v="24"/>
    <n v="24"/>
    <m/>
    <m/>
    <m/>
    <m/>
    <m/>
  </r>
  <r>
    <n v="280"/>
    <x v="77"/>
    <d v="2024-05-28T00:00:00"/>
    <n v="124"/>
    <x v="3"/>
    <x v="0"/>
    <n v="212"/>
    <x v="4"/>
    <n v="20"/>
    <n v="50"/>
    <n v="22"/>
    <n v="22"/>
    <n v="20"/>
    <n v="48"/>
    <n v="18"/>
    <m/>
    <n v="17"/>
    <n v="22"/>
    <m/>
    <m/>
    <m/>
    <m/>
    <m/>
  </r>
  <r>
    <n v="281"/>
    <x v="108"/>
    <d v="2024-05-02T00:00:00"/>
    <n v="28"/>
    <x v="2"/>
    <x v="3"/>
    <n v="476"/>
    <x v="3"/>
    <m/>
    <m/>
    <m/>
    <m/>
    <m/>
    <m/>
    <n v="18"/>
    <m/>
    <n v="24"/>
    <n v="17"/>
    <n v="19"/>
    <n v="15"/>
    <n v="24"/>
    <m/>
    <m/>
  </r>
  <r>
    <n v="282"/>
    <x v="57"/>
    <d v="2024-05-05T00:00:00"/>
    <n v="107"/>
    <x v="1"/>
    <x v="0"/>
    <n v="427"/>
    <x v="0"/>
    <n v="20"/>
    <n v="33"/>
    <n v="21"/>
    <n v="22"/>
    <m/>
    <n v="20"/>
    <n v="14"/>
    <n v="17"/>
    <m/>
    <m/>
    <m/>
    <m/>
    <m/>
    <m/>
    <m/>
  </r>
  <r>
    <n v="283"/>
    <x v="29"/>
    <d v="2024-05-21T00:00:00"/>
    <n v="93"/>
    <x v="3"/>
    <x v="4"/>
    <n v="425"/>
    <x v="4"/>
    <n v="17"/>
    <n v="31"/>
    <n v="22"/>
    <n v="18"/>
    <n v="23"/>
    <n v="43"/>
    <n v="18"/>
    <m/>
    <n v="24"/>
    <n v="17"/>
    <m/>
    <m/>
    <m/>
    <m/>
    <m/>
  </r>
  <r>
    <n v="284"/>
    <x v="38"/>
    <d v="2024-05-01T00:00:00"/>
    <n v="57"/>
    <x v="3"/>
    <x v="0"/>
    <n v="397"/>
    <x v="2"/>
    <n v="20"/>
    <n v="43"/>
    <n v="22"/>
    <n v="16"/>
    <n v="15"/>
    <n v="34"/>
    <n v="18"/>
    <m/>
    <n v="21"/>
    <n v="14"/>
    <m/>
    <m/>
    <m/>
    <m/>
    <m/>
  </r>
  <r>
    <n v="285"/>
    <x v="98"/>
    <d v="2024-05-12T00:00:00"/>
    <n v="82"/>
    <x v="1"/>
    <x v="1"/>
    <n v="217"/>
    <x v="2"/>
    <n v="21"/>
    <n v="41"/>
    <n v="16"/>
    <n v="16"/>
    <m/>
    <n v="37"/>
    <n v="19"/>
    <n v="20"/>
    <m/>
    <m/>
    <m/>
    <m/>
    <m/>
    <m/>
    <m/>
  </r>
  <r>
    <n v="286"/>
    <x v="80"/>
    <d v="2024-05-16T00:00:00"/>
    <n v="31"/>
    <x v="1"/>
    <x v="3"/>
    <n v="218"/>
    <x v="0"/>
    <n v="20"/>
    <n v="30"/>
    <n v="14"/>
    <n v="23"/>
    <m/>
    <n v="25"/>
    <n v="16"/>
    <n v="22"/>
    <m/>
    <m/>
    <m/>
    <m/>
    <m/>
    <m/>
    <m/>
  </r>
  <r>
    <n v="287"/>
    <x v="75"/>
    <d v="2024-04-29T00:00:00"/>
    <n v="66"/>
    <x v="0"/>
    <x v="1"/>
    <n v="288"/>
    <x v="1"/>
    <n v="24"/>
    <n v="50"/>
    <n v="21"/>
    <n v="21"/>
    <n v="18"/>
    <m/>
    <m/>
    <m/>
    <m/>
    <m/>
    <m/>
    <m/>
    <m/>
    <m/>
    <m/>
  </r>
  <r>
    <n v="288"/>
    <x v="34"/>
    <d v="2024-05-08T00:00:00"/>
    <n v="40"/>
    <x v="3"/>
    <x v="1"/>
    <n v="80"/>
    <x v="3"/>
    <n v="18"/>
    <n v="20"/>
    <n v="20"/>
    <n v="17"/>
    <n v="24"/>
    <n v="46"/>
    <n v="15"/>
    <m/>
    <n v="24"/>
    <n v="19"/>
    <m/>
    <m/>
    <m/>
    <m/>
    <m/>
  </r>
  <r>
    <n v="289"/>
    <x v="109"/>
    <d v="2024-05-08T00:00:00"/>
    <n v="99"/>
    <x v="1"/>
    <x v="1"/>
    <n v="347"/>
    <x v="0"/>
    <n v="21"/>
    <n v="50"/>
    <n v="17"/>
    <n v="21"/>
    <m/>
    <n v="35"/>
    <n v="21"/>
    <n v="20"/>
    <m/>
    <m/>
    <m/>
    <m/>
    <m/>
    <m/>
    <m/>
  </r>
  <r>
    <n v="290"/>
    <x v="31"/>
    <d v="2024-05-27T00:00:00"/>
    <n v="106"/>
    <x v="2"/>
    <x v="1"/>
    <n v="362"/>
    <x v="1"/>
    <m/>
    <m/>
    <m/>
    <m/>
    <m/>
    <m/>
    <n v="24"/>
    <m/>
    <n v="21"/>
    <n v="17"/>
    <n v="15"/>
    <n v="17"/>
    <n v="19"/>
    <m/>
    <m/>
  </r>
  <r>
    <n v="291"/>
    <x v="39"/>
    <d v="2024-05-21T00:00:00"/>
    <n v="23"/>
    <x v="2"/>
    <x v="3"/>
    <n v="177"/>
    <x v="4"/>
    <m/>
    <m/>
    <m/>
    <m/>
    <m/>
    <m/>
    <n v="21"/>
    <m/>
    <n v="18"/>
    <n v="21"/>
    <n v="15"/>
    <n v="21"/>
    <n v="18"/>
    <m/>
    <m/>
  </r>
  <r>
    <n v="292"/>
    <x v="15"/>
    <d v="2024-05-06T00:00:00"/>
    <n v="99"/>
    <x v="2"/>
    <x v="4"/>
    <n v="86"/>
    <x v="3"/>
    <m/>
    <m/>
    <m/>
    <m/>
    <m/>
    <m/>
    <n v="19"/>
    <m/>
    <n v="16"/>
    <n v="24"/>
    <n v="20"/>
    <n v="17"/>
    <n v="23"/>
    <m/>
    <m/>
  </r>
  <r>
    <n v="293"/>
    <x v="110"/>
    <d v="2024-05-21T00:00:00"/>
    <n v="129"/>
    <x v="0"/>
    <x v="2"/>
    <n v="316"/>
    <x v="0"/>
    <n v="23"/>
    <n v="29"/>
    <n v="18"/>
    <n v="21"/>
    <n v="16"/>
    <m/>
    <m/>
    <m/>
    <m/>
    <m/>
    <m/>
    <m/>
    <m/>
    <m/>
    <m/>
  </r>
  <r>
    <n v="294"/>
    <x v="4"/>
    <d v="2024-04-30T00:00:00"/>
    <n v="62"/>
    <x v="3"/>
    <x v="1"/>
    <n v="81"/>
    <x v="1"/>
    <n v="16"/>
    <n v="40"/>
    <n v="24"/>
    <n v="16"/>
    <n v="21"/>
    <n v="45"/>
    <n v="17"/>
    <m/>
    <n v="18"/>
    <n v="18"/>
    <m/>
    <m/>
    <m/>
    <m/>
    <m/>
  </r>
  <r>
    <n v="295"/>
    <x v="17"/>
    <d v="2024-05-19T00:00:00"/>
    <n v="61"/>
    <x v="3"/>
    <x v="4"/>
    <n v="274"/>
    <x v="0"/>
    <n v="17"/>
    <n v="43"/>
    <n v="18"/>
    <n v="18"/>
    <n v="17"/>
    <n v="48"/>
    <n v="14"/>
    <m/>
    <n v="20"/>
    <n v="19"/>
    <m/>
    <m/>
    <m/>
    <m/>
    <m/>
  </r>
  <r>
    <n v="296"/>
    <x v="98"/>
    <d v="2024-05-27T00:00:00"/>
    <n v="97"/>
    <x v="4"/>
    <x v="1"/>
    <n v="50"/>
    <x v="3"/>
    <m/>
    <m/>
    <m/>
    <m/>
    <m/>
    <m/>
    <n v="24"/>
    <n v="24"/>
    <n v="20"/>
    <n v="14"/>
    <m/>
    <m/>
    <n v="19"/>
    <n v="16"/>
    <n v="15"/>
  </r>
  <r>
    <n v="297"/>
    <x v="68"/>
    <d v="2024-05-17T00:00:00"/>
    <n v="80"/>
    <x v="4"/>
    <x v="3"/>
    <n v="273"/>
    <x v="1"/>
    <m/>
    <m/>
    <m/>
    <m/>
    <m/>
    <m/>
    <n v="18"/>
    <n v="15"/>
    <n v="15"/>
    <n v="19"/>
    <m/>
    <m/>
    <n v="22"/>
    <n v="18"/>
    <n v="20"/>
  </r>
  <r>
    <n v="298"/>
    <x v="68"/>
    <d v="2024-05-20T00:00:00"/>
    <n v="83"/>
    <x v="1"/>
    <x v="4"/>
    <n v="402"/>
    <x v="2"/>
    <n v="16"/>
    <n v="30"/>
    <n v="15"/>
    <n v="19"/>
    <m/>
    <n v="39"/>
    <n v="23"/>
    <n v="16"/>
    <m/>
    <m/>
    <m/>
    <m/>
    <m/>
    <m/>
    <m/>
  </r>
  <r>
    <n v="299"/>
    <x v="110"/>
    <d v="2024-05-25T00:00:00"/>
    <n v="133"/>
    <x v="1"/>
    <x v="3"/>
    <n v="94"/>
    <x v="1"/>
    <n v="14"/>
    <n v="28"/>
    <n v="14"/>
    <n v="18"/>
    <m/>
    <n v="23"/>
    <n v="14"/>
    <n v="21"/>
    <m/>
    <m/>
    <m/>
    <m/>
    <m/>
    <m/>
    <m/>
  </r>
  <r>
    <n v="300"/>
    <x v="30"/>
    <d v="2024-05-06T00:00:00"/>
    <n v="15"/>
    <x v="4"/>
    <x v="1"/>
    <n v="455"/>
    <x v="2"/>
    <m/>
    <m/>
    <m/>
    <m/>
    <m/>
    <m/>
    <n v="15"/>
    <n v="16"/>
    <n v="14"/>
    <n v="24"/>
    <m/>
    <m/>
    <n v="15"/>
    <n v="18"/>
    <n v="14"/>
  </r>
  <r>
    <n v="301"/>
    <x v="54"/>
    <d v="2024-05-22T00:00:00"/>
    <n v="46"/>
    <x v="3"/>
    <x v="2"/>
    <n v="194"/>
    <x v="2"/>
    <n v="15"/>
    <n v="31"/>
    <n v="22"/>
    <n v="21"/>
    <n v="19"/>
    <n v="24"/>
    <n v="22"/>
    <m/>
    <n v="16"/>
    <n v="18"/>
    <m/>
    <m/>
    <m/>
    <m/>
    <m/>
  </r>
  <r>
    <n v="302"/>
    <x v="28"/>
    <d v="2024-05-09T00:00:00"/>
    <n v="13"/>
    <x v="4"/>
    <x v="0"/>
    <n v="460"/>
    <x v="2"/>
    <m/>
    <m/>
    <m/>
    <m/>
    <m/>
    <m/>
    <n v="18"/>
    <n v="17"/>
    <n v="21"/>
    <n v="24"/>
    <m/>
    <m/>
    <n v="23"/>
    <n v="16"/>
    <n v="23"/>
  </r>
  <r>
    <n v="303"/>
    <x v="86"/>
    <d v="2024-05-02T00:00:00"/>
    <n v="113"/>
    <x v="0"/>
    <x v="4"/>
    <n v="355"/>
    <x v="4"/>
    <n v="20"/>
    <n v="28"/>
    <n v="19"/>
    <n v="22"/>
    <n v="21"/>
    <m/>
    <m/>
    <m/>
    <m/>
    <m/>
    <m/>
    <m/>
    <m/>
    <m/>
    <m/>
  </r>
  <r>
    <n v="304"/>
    <x v="7"/>
    <d v="2024-05-20T00:00:00"/>
    <n v="93"/>
    <x v="0"/>
    <x v="0"/>
    <n v="242"/>
    <x v="1"/>
    <n v="14"/>
    <n v="21"/>
    <n v="17"/>
    <n v="15"/>
    <n v="18"/>
    <m/>
    <m/>
    <m/>
    <m/>
    <m/>
    <m/>
    <m/>
    <m/>
    <m/>
    <m/>
  </r>
  <r>
    <n v="305"/>
    <x v="72"/>
    <d v="2024-05-24T00:00:00"/>
    <n v="85"/>
    <x v="2"/>
    <x v="4"/>
    <n v="411"/>
    <x v="1"/>
    <m/>
    <m/>
    <m/>
    <m/>
    <m/>
    <m/>
    <n v="19"/>
    <m/>
    <n v="20"/>
    <n v="23"/>
    <n v="16"/>
    <n v="19"/>
    <n v="19"/>
    <m/>
    <m/>
  </r>
  <r>
    <n v="306"/>
    <x v="54"/>
    <d v="2024-05-20T00:00:00"/>
    <n v="44"/>
    <x v="0"/>
    <x v="3"/>
    <n v="292"/>
    <x v="2"/>
    <n v="23"/>
    <n v="24"/>
    <n v="22"/>
    <n v="16"/>
    <n v="20"/>
    <m/>
    <m/>
    <m/>
    <m/>
    <m/>
    <m/>
    <m/>
    <m/>
    <m/>
    <m/>
  </r>
  <r>
    <n v="307"/>
    <x v="60"/>
    <d v="2024-05-14T00:00:00"/>
    <n v="28"/>
    <x v="2"/>
    <x v="1"/>
    <n v="271"/>
    <x v="3"/>
    <m/>
    <m/>
    <m/>
    <m/>
    <m/>
    <m/>
    <n v="23"/>
    <m/>
    <n v="23"/>
    <n v="21"/>
    <n v="16"/>
    <n v="18"/>
    <n v="20"/>
    <m/>
    <m/>
  </r>
  <r>
    <n v="308"/>
    <x v="34"/>
    <d v="2024-05-10T00:00:00"/>
    <n v="42"/>
    <x v="1"/>
    <x v="2"/>
    <n v="384"/>
    <x v="2"/>
    <n v="22"/>
    <n v="21"/>
    <n v="17"/>
    <n v="20"/>
    <m/>
    <n v="43"/>
    <n v="21"/>
    <n v="17"/>
    <m/>
    <m/>
    <m/>
    <m/>
    <m/>
    <m/>
    <m/>
  </r>
  <r>
    <n v="309"/>
    <x v="17"/>
    <d v="2024-05-27T00:00:00"/>
    <n v="69"/>
    <x v="3"/>
    <x v="3"/>
    <n v="107"/>
    <x v="3"/>
    <n v="17"/>
    <n v="47"/>
    <n v="17"/>
    <n v="17"/>
    <n v="22"/>
    <n v="32"/>
    <n v="22"/>
    <m/>
    <n v="14"/>
    <n v="17"/>
    <m/>
    <m/>
    <m/>
    <m/>
    <m/>
  </r>
  <r>
    <n v="310"/>
    <x v="0"/>
    <d v="2024-05-08T00:00:00"/>
    <n v="117"/>
    <x v="3"/>
    <x v="0"/>
    <n v="458"/>
    <x v="3"/>
    <n v="23"/>
    <n v="49"/>
    <n v="15"/>
    <n v="15"/>
    <n v="17"/>
    <n v="41"/>
    <n v="20"/>
    <m/>
    <n v="15"/>
    <n v="16"/>
    <m/>
    <m/>
    <m/>
    <m/>
    <m/>
  </r>
  <r>
    <n v="311"/>
    <x v="70"/>
    <d v="2024-05-12T00:00:00"/>
    <n v="97"/>
    <x v="4"/>
    <x v="4"/>
    <n v="401"/>
    <x v="4"/>
    <m/>
    <m/>
    <m/>
    <m/>
    <m/>
    <m/>
    <n v="22"/>
    <n v="16"/>
    <n v="17"/>
    <n v="24"/>
    <m/>
    <m/>
    <n v="24"/>
    <n v="18"/>
    <n v="15"/>
  </r>
  <r>
    <n v="312"/>
    <x v="65"/>
    <d v="2024-05-19T00:00:00"/>
    <n v="55"/>
    <x v="3"/>
    <x v="1"/>
    <n v="283"/>
    <x v="2"/>
    <n v="17"/>
    <n v="49"/>
    <n v="16"/>
    <n v="16"/>
    <n v="19"/>
    <n v="37"/>
    <n v="20"/>
    <m/>
    <n v="22"/>
    <n v="23"/>
    <m/>
    <m/>
    <m/>
    <m/>
    <m/>
  </r>
  <r>
    <n v="313"/>
    <x v="96"/>
    <d v="2024-04-29T00:00:00"/>
    <n v="50"/>
    <x v="3"/>
    <x v="0"/>
    <n v="174"/>
    <x v="4"/>
    <n v="19"/>
    <n v="21"/>
    <n v="21"/>
    <n v="14"/>
    <n v="21"/>
    <n v="42"/>
    <n v="21"/>
    <m/>
    <n v="16"/>
    <n v="22"/>
    <m/>
    <m/>
    <m/>
    <m/>
    <m/>
  </r>
  <r>
    <n v="314"/>
    <x v="111"/>
    <d v="2024-05-10T00:00:00"/>
    <n v="91"/>
    <x v="4"/>
    <x v="2"/>
    <n v="481"/>
    <x v="3"/>
    <m/>
    <m/>
    <m/>
    <m/>
    <m/>
    <m/>
    <n v="17"/>
    <n v="14"/>
    <n v="18"/>
    <n v="16"/>
    <m/>
    <m/>
    <n v="17"/>
    <n v="23"/>
    <n v="15"/>
  </r>
  <r>
    <n v="315"/>
    <x v="109"/>
    <d v="2024-05-01T00:00:00"/>
    <n v="92"/>
    <x v="0"/>
    <x v="4"/>
    <n v="339"/>
    <x v="3"/>
    <n v="14"/>
    <n v="23"/>
    <n v="22"/>
    <n v="20"/>
    <n v="23"/>
    <m/>
    <m/>
    <m/>
    <m/>
    <m/>
    <m/>
    <m/>
    <m/>
    <m/>
    <m/>
  </r>
  <r>
    <n v="316"/>
    <x v="29"/>
    <d v="2024-05-11T00:00:00"/>
    <n v="83"/>
    <x v="1"/>
    <x v="2"/>
    <n v="221"/>
    <x v="2"/>
    <n v="16"/>
    <n v="30"/>
    <n v="22"/>
    <n v="20"/>
    <m/>
    <n v="44"/>
    <n v="23"/>
    <n v="15"/>
    <m/>
    <m/>
    <m/>
    <m/>
    <m/>
    <m/>
    <m/>
  </r>
  <r>
    <n v="317"/>
    <x v="82"/>
    <d v="2024-05-16T00:00:00"/>
    <n v="49"/>
    <x v="4"/>
    <x v="0"/>
    <n v="363"/>
    <x v="2"/>
    <m/>
    <m/>
    <m/>
    <m/>
    <m/>
    <m/>
    <n v="14"/>
    <n v="18"/>
    <n v="15"/>
    <n v="19"/>
    <m/>
    <m/>
    <n v="21"/>
    <n v="15"/>
    <n v="22"/>
  </r>
  <r>
    <n v="318"/>
    <x v="107"/>
    <d v="2024-04-30T00:00:00"/>
    <n v="119"/>
    <x v="3"/>
    <x v="0"/>
    <n v="139"/>
    <x v="1"/>
    <n v="19"/>
    <n v="44"/>
    <n v="19"/>
    <n v="16"/>
    <n v="18"/>
    <n v="22"/>
    <n v="21"/>
    <m/>
    <n v="14"/>
    <n v="15"/>
    <m/>
    <m/>
    <m/>
    <m/>
    <m/>
  </r>
  <r>
    <n v="319"/>
    <x v="101"/>
    <d v="2024-05-18T00:00:00"/>
    <n v="112"/>
    <x v="4"/>
    <x v="4"/>
    <n v="474"/>
    <x v="3"/>
    <m/>
    <m/>
    <m/>
    <m/>
    <m/>
    <m/>
    <n v="15"/>
    <n v="20"/>
    <n v="15"/>
    <n v="23"/>
    <m/>
    <m/>
    <n v="22"/>
    <n v="16"/>
    <n v="16"/>
  </r>
  <r>
    <n v="320"/>
    <x v="103"/>
    <d v="2024-05-13T00:00:00"/>
    <n v="89"/>
    <x v="4"/>
    <x v="3"/>
    <n v="220"/>
    <x v="3"/>
    <m/>
    <m/>
    <m/>
    <m/>
    <m/>
    <m/>
    <n v="21"/>
    <n v="23"/>
    <n v="18"/>
    <n v="18"/>
    <m/>
    <m/>
    <n v="24"/>
    <n v="19"/>
    <n v="23"/>
  </r>
  <r>
    <n v="321"/>
    <x v="1"/>
    <d v="2024-05-19T00:00:00"/>
    <n v="122"/>
    <x v="2"/>
    <x v="2"/>
    <n v="290"/>
    <x v="2"/>
    <m/>
    <m/>
    <m/>
    <m/>
    <m/>
    <m/>
    <n v="20"/>
    <m/>
    <n v="21"/>
    <n v="15"/>
    <n v="15"/>
    <n v="21"/>
    <n v="16"/>
    <m/>
    <m/>
  </r>
  <r>
    <n v="322"/>
    <x v="29"/>
    <d v="2024-05-06T00:00:00"/>
    <n v="78"/>
    <x v="1"/>
    <x v="4"/>
    <n v="219"/>
    <x v="4"/>
    <n v="15"/>
    <n v="48"/>
    <n v="19"/>
    <n v="20"/>
    <m/>
    <n v="28"/>
    <n v="24"/>
    <n v="18"/>
    <m/>
    <m/>
    <m/>
    <m/>
    <m/>
    <m/>
    <m/>
  </r>
  <r>
    <n v="323"/>
    <x v="41"/>
    <d v="2024-05-19T00:00:00"/>
    <n v="88"/>
    <x v="1"/>
    <x v="0"/>
    <n v="107"/>
    <x v="4"/>
    <n v="16"/>
    <n v="23"/>
    <n v="19"/>
    <n v="24"/>
    <m/>
    <n v="36"/>
    <n v="22"/>
    <n v="17"/>
    <m/>
    <m/>
    <m/>
    <m/>
    <m/>
    <m/>
    <m/>
  </r>
  <r>
    <n v="324"/>
    <x v="41"/>
    <d v="2024-05-18T00:00:00"/>
    <n v="87"/>
    <x v="2"/>
    <x v="4"/>
    <n v="217"/>
    <x v="3"/>
    <m/>
    <m/>
    <m/>
    <m/>
    <m/>
    <m/>
    <n v="15"/>
    <m/>
    <n v="21"/>
    <n v="18"/>
    <n v="18"/>
    <n v="19"/>
    <n v="19"/>
    <m/>
    <m/>
  </r>
  <r>
    <n v="325"/>
    <x v="112"/>
    <d v="2024-05-18T00:00:00"/>
    <n v="110"/>
    <x v="1"/>
    <x v="0"/>
    <n v="164"/>
    <x v="2"/>
    <n v="19"/>
    <n v="41"/>
    <n v="14"/>
    <n v="15"/>
    <m/>
    <n v="31"/>
    <n v="19"/>
    <n v="20"/>
    <m/>
    <m/>
    <m/>
    <m/>
    <m/>
    <m/>
    <m/>
  </r>
  <r>
    <n v="326"/>
    <x v="98"/>
    <d v="2024-05-22T00:00:00"/>
    <n v="92"/>
    <x v="0"/>
    <x v="1"/>
    <n v="340"/>
    <x v="3"/>
    <n v="18"/>
    <n v="49"/>
    <n v="17"/>
    <n v="23"/>
    <n v="21"/>
    <m/>
    <m/>
    <m/>
    <m/>
    <m/>
    <m/>
    <m/>
    <m/>
    <m/>
    <m/>
  </r>
  <r>
    <n v="327"/>
    <x v="16"/>
    <d v="2024-05-14T00:00:00"/>
    <n v="52"/>
    <x v="3"/>
    <x v="4"/>
    <n v="314"/>
    <x v="4"/>
    <n v="17"/>
    <n v="33"/>
    <n v="24"/>
    <n v="18"/>
    <n v="16"/>
    <n v="37"/>
    <n v="23"/>
    <m/>
    <n v="23"/>
    <n v="17"/>
    <m/>
    <m/>
    <m/>
    <m/>
    <m/>
  </r>
  <r>
    <n v="328"/>
    <x v="111"/>
    <d v="2024-05-12T00:00:00"/>
    <n v="93"/>
    <x v="3"/>
    <x v="4"/>
    <n v="126"/>
    <x v="1"/>
    <n v="14"/>
    <n v="43"/>
    <n v="17"/>
    <n v="15"/>
    <n v="23"/>
    <n v="38"/>
    <n v="14"/>
    <m/>
    <n v="19"/>
    <n v="15"/>
    <m/>
    <m/>
    <m/>
    <m/>
    <m/>
  </r>
  <r>
    <n v="329"/>
    <x v="92"/>
    <d v="2024-05-11T00:00:00"/>
    <n v="100"/>
    <x v="4"/>
    <x v="0"/>
    <n v="257"/>
    <x v="0"/>
    <m/>
    <m/>
    <m/>
    <m/>
    <m/>
    <m/>
    <n v="14"/>
    <n v="23"/>
    <n v="19"/>
    <n v="14"/>
    <m/>
    <m/>
    <n v="16"/>
    <n v="18"/>
    <n v="14"/>
  </r>
  <r>
    <n v="330"/>
    <x v="65"/>
    <d v="2024-05-19T00:00:00"/>
    <n v="55"/>
    <x v="2"/>
    <x v="3"/>
    <n v="347"/>
    <x v="3"/>
    <m/>
    <m/>
    <m/>
    <m/>
    <m/>
    <m/>
    <n v="24"/>
    <m/>
    <n v="18"/>
    <n v="20"/>
    <n v="17"/>
    <n v="21"/>
    <n v="15"/>
    <m/>
    <m/>
  </r>
  <r>
    <n v="331"/>
    <x v="63"/>
    <d v="2024-05-03T00:00:00"/>
    <n v="93"/>
    <x v="4"/>
    <x v="4"/>
    <n v="184"/>
    <x v="4"/>
    <m/>
    <m/>
    <m/>
    <m/>
    <m/>
    <m/>
    <n v="18"/>
    <n v="17"/>
    <n v="23"/>
    <n v="23"/>
    <m/>
    <m/>
    <n v="22"/>
    <n v="19"/>
    <n v="18"/>
  </r>
  <r>
    <n v="332"/>
    <x v="18"/>
    <d v="2024-05-23T00:00:00"/>
    <n v="138"/>
    <x v="4"/>
    <x v="4"/>
    <n v="262"/>
    <x v="3"/>
    <m/>
    <m/>
    <m/>
    <m/>
    <m/>
    <m/>
    <n v="19"/>
    <n v="24"/>
    <n v="22"/>
    <n v="16"/>
    <m/>
    <m/>
    <n v="21"/>
    <n v="19"/>
    <n v="19"/>
  </r>
  <r>
    <n v="333"/>
    <x v="86"/>
    <d v="2024-05-26T00:00:00"/>
    <n v="137"/>
    <x v="1"/>
    <x v="4"/>
    <n v="251"/>
    <x v="3"/>
    <n v="22"/>
    <n v="20"/>
    <n v="18"/>
    <n v="23"/>
    <m/>
    <n v="34"/>
    <n v="16"/>
    <n v="14"/>
    <m/>
    <m/>
    <m/>
    <m/>
    <m/>
    <m/>
    <m/>
  </r>
  <r>
    <n v="334"/>
    <x v="68"/>
    <d v="2024-04-29T00:00:00"/>
    <n v="62"/>
    <x v="1"/>
    <x v="4"/>
    <n v="176"/>
    <x v="4"/>
    <n v="18"/>
    <n v="28"/>
    <n v="20"/>
    <n v="19"/>
    <m/>
    <n v="25"/>
    <n v="16"/>
    <n v="16"/>
    <m/>
    <m/>
    <m/>
    <m/>
    <m/>
    <m/>
    <m/>
  </r>
  <r>
    <n v="335"/>
    <x v="57"/>
    <d v="2024-05-27T00:00:00"/>
    <n v="129"/>
    <x v="3"/>
    <x v="1"/>
    <n v="202"/>
    <x v="3"/>
    <n v="17"/>
    <n v="36"/>
    <n v="17"/>
    <n v="22"/>
    <n v="17"/>
    <n v="42"/>
    <n v="19"/>
    <m/>
    <n v="14"/>
    <n v="14"/>
    <m/>
    <m/>
    <m/>
    <m/>
    <m/>
  </r>
  <r>
    <n v="336"/>
    <x v="45"/>
    <d v="2024-05-10T00:00:00"/>
    <n v="110"/>
    <x v="0"/>
    <x v="0"/>
    <n v="234"/>
    <x v="4"/>
    <n v="16"/>
    <n v="25"/>
    <n v="23"/>
    <n v="14"/>
    <n v="19"/>
    <m/>
    <m/>
    <m/>
    <m/>
    <m/>
    <m/>
    <m/>
    <m/>
    <m/>
    <m/>
  </r>
  <r>
    <n v="337"/>
    <x v="10"/>
    <d v="2024-05-15T00:00:00"/>
    <n v="80"/>
    <x v="2"/>
    <x v="3"/>
    <n v="89"/>
    <x v="4"/>
    <m/>
    <m/>
    <m/>
    <m/>
    <m/>
    <m/>
    <n v="22"/>
    <m/>
    <n v="22"/>
    <n v="21"/>
    <n v="19"/>
    <n v="23"/>
    <n v="16"/>
    <m/>
    <m/>
  </r>
  <r>
    <n v="338"/>
    <x v="12"/>
    <d v="2024-05-25T00:00:00"/>
    <n v="142"/>
    <x v="3"/>
    <x v="2"/>
    <n v="152"/>
    <x v="2"/>
    <n v="18"/>
    <n v="30"/>
    <n v="21"/>
    <n v="17"/>
    <n v="18"/>
    <n v="46"/>
    <n v="17"/>
    <m/>
    <n v="21"/>
    <n v="15"/>
    <m/>
    <m/>
    <m/>
    <m/>
    <m/>
  </r>
  <r>
    <n v="339"/>
    <x v="53"/>
    <d v="2024-05-26T00:00:00"/>
    <n v="72"/>
    <x v="4"/>
    <x v="3"/>
    <n v="284"/>
    <x v="4"/>
    <m/>
    <m/>
    <m/>
    <m/>
    <m/>
    <m/>
    <n v="19"/>
    <n v="21"/>
    <n v="24"/>
    <n v="17"/>
    <m/>
    <m/>
    <n v="16"/>
    <n v="19"/>
    <n v="21"/>
  </r>
  <r>
    <n v="340"/>
    <x v="72"/>
    <d v="2024-05-27T00:00:00"/>
    <n v="88"/>
    <x v="4"/>
    <x v="0"/>
    <n v="326"/>
    <x v="3"/>
    <m/>
    <m/>
    <m/>
    <m/>
    <m/>
    <m/>
    <n v="21"/>
    <n v="24"/>
    <n v="20"/>
    <n v="17"/>
    <m/>
    <m/>
    <n v="21"/>
    <n v="15"/>
    <n v="15"/>
  </r>
  <r>
    <n v="341"/>
    <x v="112"/>
    <d v="2024-05-08T00:00:00"/>
    <n v="100"/>
    <x v="2"/>
    <x v="3"/>
    <n v="465"/>
    <x v="3"/>
    <m/>
    <m/>
    <m/>
    <m/>
    <m/>
    <m/>
    <n v="18"/>
    <m/>
    <n v="15"/>
    <n v="21"/>
    <n v="15"/>
    <n v="21"/>
    <n v="23"/>
    <m/>
    <m/>
  </r>
  <r>
    <n v="342"/>
    <x v="97"/>
    <d v="2024-05-16T00:00:00"/>
    <n v="100"/>
    <x v="1"/>
    <x v="0"/>
    <n v="381"/>
    <x v="3"/>
    <n v="18"/>
    <n v="28"/>
    <n v="20"/>
    <n v="14"/>
    <m/>
    <n v="34"/>
    <n v="21"/>
    <n v="20"/>
    <m/>
    <m/>
    <m/>
    <m/>
    <m/>
    <m/>
    <m/>
  </r>
  <r>
    <n v="343"/>
    <x v="80"/>
    <d v="2024-05-23T00:00:00"/>
    <n v="38"/>
    <x v="1"/>
    <x v="1"/>
    <n v="111"/>
    <x v="4"/>
    <n v="15"/>
    <n v="26"/>
    <n v="21"/>
    <n v="17"/>
    <m/>
    <n v="44"/>
    <n v="24"/>
    <n v="21"/>
    <m/>
    <m/>
    <m/>
    <m/>
    <m/>
    <m/>
    <m/>
  </r>
  <r>
    <n v="344"/>
    <x v="86"/>
    <d v="2024-05-25T00:00:00"/>
    <n v="136"/>
    <x v="2"/>
    <x v="1"/>
    <n v="417"/>
    <x v="3"/>
    <m/>
    <m/>
    <m/>
    <m/>
    <m/>
    <m/>
    <n v="15"/>
    <m/>
    <n v="15"/>
    <n v="23"/>
    <n v="19"/>
    <n v="16"/>
    <n v="22"/>
    <m/>
    <m/>
  </r>
  <r>
    <n v="345"/>
    <x v="41"/>
    <d v="2024-05-06T00:00:00"/>
    <n v="75"/>
    <x v="1"/>
    <x v="3"/>
    <n v="70"/>
    <x v="2"/>
    <n v="22"/>
    <n v="28"/>
    <n v="24"/>
    <n v="22"/>
    <m/>
    <n v="41"/>
    <n v="16"/>
    <n v="17"/>
    <m/>
    <m/>
    <m/>
    <m/>
    <m/>
    <m/>
    <m/>
  </r>
  <r>
    <n v="346"/>
    <x v="0"/>
    <d v="2024-05-14T00:00:00"/>
    <n v="123"/>
    <x v="2"/>
    <x v="1"/>
    <n v="175"/>
    <x v="4"/>
    <m/>
    <m/>
    <m/>
    <m/>
    <m/>
    <m/>
    <n v="15"/>
    <m/>
    <n v="15"/>
    <n v="15"/>
    <n v="24"/>
    <n v="23"/>
    <n v="15"/>
    <m/>
    <m/>
  </r>
  <r>
    <n v="347"/>
    <x v="20"/>
    <d v="2024-05-21T00:00:00"/>
    <n v="33"/>
    <x v="4"/>
    <x v="3"/>
    <n v="133"/>
    <x v="4"/>
    <m/>
    <m/>
    <m/>
    <m/>
    <m/>
    <m/>
    <n v="17"/>
    <n v="22"/>
    <n v="22"/>
    <n v="23"/>
    <m/>
    <m/>
    <n v="21"/>
    <n v="18"/>
    <n v="17"/>
  </r>
  <r>
    <n v="348"/>
    <x v="25"/>
    <d v="2024-05-06T00:00:00"/>
    <n v="13"/>
    <x v="1"/>
    <x v="2"/>
    <n v="430"/>
    <x v="4"/>
    <n v="18"/>
    <n v="29"/>
    <n v="18"/>
    <n v="14"/>
    <m/>
    <n v="47"/>
    <n v="14"/>
    <n v="15"/>
    <m/>
    <m/>
    <m/>
    <m/>
    <m/>
    <m/>
    <m/>
  </r>
  <r>
    <n v="349"/>
    <x v="89"/>
    <d v="2024-05-27T00:00:00"/>
    <n v="82"/>
    <x v="1"/>
    <x v="3"/>
    <n v="145"/>
    <x v="2"/>
    <n v="24"/>
    <n v="31"/>
    <n v="21"/>
    <n v="19"/>
    <m/>
    <n v="20"/>
    <n v="20"/>
    <n v="14"/>
    <m/>
    <m/>
    <m/>
    <m/>
    <m/>
    <m/>
    <m/>
  </r>
  <r>
    <n v="350"/>
    <x v="35"/>
    <d v="2024-05-09T00:00:00"/>
    <n v="73"/>
    <x v="0"/>
    <x v="1"/>
    <n v="240"/>
    <x v="4"/>
    <n v="17"/>
    <n v="25"/>
    <n v="21"/>
    <n v="18"/>
    <n v="17"/>
    <m/>
    <m/>
    <m/>
    <m/>
    <m/>
    <m/>
    <m/>
    <m/>
    <m/>
    <m/>
  </r>
  <r>
    <n v="351"/>
    <x v="105"/>
    <d v="2024-05-21T00:00:00"/>
    <n v="74"/>
    <x v="1"/>
    <x v="1"/>
    <n v="164"/>
    <x v="0"/>
    <n v="21"/>
    <n v="22"/>
    <n v="21"/>
    <n v="21"/>
    <m/>
    <n v="21"/>
    <n v="21"/>
    <n v="22"/>
    <m/>
    <m/>
    <m/>
    <m/>
    <m/>
    <m/>
    <m/>
  </r>
  <r>
    <n v="352"/>
    <x v="113"/>
    <d v="2024-05-09T00:00:00"/>
    <n v="113"/>
    <x v="4"/>
    <x v="3"/>
    <n v="73"/>
    <x v="4"/>
    <m/>
    <m/>
    <m/>
    <m/>
    <m/>
    <m/>
    <n v="19"/>
    <n v="23"/>
    <n v="18"/>
    <n v="14"/>
    <m/>
    <m/>
    <n v="14"/>
    <n v="22"/>
    <n v="24"/>
  </r>
  <r>
    <n v="353"/>
    <x v="68"/>
    <d v="2024-05-26T00:00:00"/>
    <n v="89"/>
    <x v="1"/>
    <x v="2"/>
    <n v="395"/>
    <x v="1"/>
    <n v="20"/>
    <n v="38"/>
    <n v="15"/>
    <n v="18"/>
    <m/>
    <n v="46"/>
    <n v="18"/>
    <n v="16"/>
    <m/>
    <m/>
    <m/>
    <m/>
    <m/>
    <m/>
    <m/>
  </r>
  <r>
    <n v="354"/>
    <x v="27"/>
    <d v="2024-05-27T00:00:00"/>
    <n v="139"/>
    <x v="1"/>
    <x v="4"/>
    <n v="145"/>
    <x v="3"/>
    <n v="21"/>
    <n v="27"/>
    <n v="20"/>
    <n v="15"/>
    <m/>
    <n v="33"/>
    <n v="23"/>
    <n v="23"/>
    <m/>
    <m/>
    <m/>
    <m/>
    <m/>
    <m/>
    <m/>
  </r>
  <r>
    <n v="355"/>
    <x v="114"/>
    <d v="2024-05-16T00:00:00"/>
    <n v="64"/>
    <x v="1"/>
    <x v="0"/>
    <n v="480"/>
    <x v="0"/>
    <n v="14"/>
    <n v="50"/>
    <n v="18"/>
    <n v="16"/>
    <m/>
    <n v="24"/>
    <n v="23"/>
    <n v="23"/>
    <m/>
    <m/>
    <m/>
    <m/>
    <m/>
    <m/>
    <m/>
  </r>
  <r>
    <n v="356"/>
    <x v="96"/>
    <d v="2024-05-19T00:00:00"/>
    <n v="70"/>
    <x v="4"/>
    <x v="0"/>
    <n v="181"/>
    <x v="0"/>
    <m/>
    <m/>
    <m/>
    <m/>
    <m/>
    <m/>
    <n v="17"/>
    <n v="19"/>
    <n v="18"/>
    <n v="14"/>
    <m/>
    <m/>
    <n v="19"/>
    <n v="22"/>
    <n v="15"/>
  </r>
  <r>
    <n v="357"/>
    <x v="41"/>
    <d v="2024-05-07T00:00:00"/>
    <n v="76"/>
    <x v="0"/>
    <x v="1"/>
    <n v="377"/>
    <x v="4"/>
    <n v="16"/>
    <n v="27"/>
    <n v="15"/>
    <n v="17"/>
    <n v="15"/>
    <m/>
    <m/>
    <m/>
    <m/>
    <m/>
    <m/>
    <m/>
    <m/>
    <m/>
    <m/>
  </r>
  <r>
    <n v="358"/>
    <x v="34"/>
    <d v="2024-04-29T00:00:00"/>
    <n v="31"/>
    <x v="2"/>
    <x v="0"/>
    <n v="74"/>
    <x v="0"/>
    <m/>
    <m/>
    <m/>
    <m/>
    <m/>
    <m/>
    <n v="23"/>
    <m/>
    <n v="23"/>
    <n v="15"/>
    <n v="19"/>
    <n v="15"/>
    <n v="22"/>
    <m/>
    <m/>
  </r>
  <r>
    <n v="359"/>
    <x v="37"/>
    <d v="2024-05-20T00:00:00"/>
    <n v="49"/>
    <x v="4"/>
    <x v="2"/>
    <n v="129"/>
    <x v="4"/>
    <m/>
    <m/>
    <m/>
    <m/>
    <m/>
    <m/>
    <n v="17"/>
    <n v="15"/>
    <n v="16"/>
    <n v="16"/>
    <m/>
    <m/>
    <n v="15"/>
    <n v="17"/>
    <n v="22"/>
  </r>
  <r>
    <n v="360"/>
    <x v="99"/>
    <d v="2024-05-22T00:00:00"/>
    <n v="142"/>
    <x v="3"/>
    <x v="2"/>
    <n v="265"/>
    <x v="1"/>
    <n v="21"/>
    <n v="27"/>
    <n v="18"/>
    <n v="19"/>
    <n v="16"/>
    <n v="27"/>
    <n v="15"/>
    <m/>
    <n v="23"/>
    <n v="14"/>
    <m/>
    <m/>
    <m/>
    <m/>
    <m/>
  </r>
  <r>
    <n v="361"/>
    <x v="115"/>
    <d v="2024-05-04T00:00:00"/>
    <n v="43"/>
    <x v="4"/>
    <x v="0"/>
    <n v="388"/>
    <x v="2"/>
    <m/>
    <m/>
    <m/>
    <m/>
    <m/>
    <m/>
    <n v="21"/>
    <n v="22"/>
    <n v="21"/>
    <n v="16"/>
    <m/>
    <m/>
    <n v="19"/>
    <n v="15"/>
    <n v="18"/>
  </r>
  <r>
    <n v="362"/>
    <x v="57"/>
    <d v="2024-05-04T00:00:00"/>
    <n v="106"/>
    <x v="4"/>
    <x v="2"/>
    <n v="204"/>
    <x v="2"/>
    <m/>
    <m/>
    <m/>
    <m/>
    <m/>
    <m/>
    <n v="24"/>
    <n v="20"/>
    <n v="24"/>
    <n v="16"/>
    <m/>
    <m/>
    <n v="16"/>
    <n v="16"/>
    <n v="22"/>
  </r>
  <r>
    <n v="363"/>
    <x v="47"/>
    <d v="2024-05-18T00:00:00"/>
    <n v="61"/>
    <x v="2"/>
    <x v="0"/>
    <n v="465"/>
    <x v="0"/>
    <m/>
    <m/>
    <m/>
    <m/>
    <m/>
    <m/>
    <n v="20"/>
    <m/>
    <n v="22"/>
    <n v="14"/>
    <n v="20"/>
    <n v="23"/>
    <n v="24"/>
    <m/>
    <m/>
  </r>
  <r>
    <n v="364"/>
    <x v="24"/>
    <d v="2024-05-05T00:00:00"/>
    <n v="104"/>
    <x v="4"/>
    <x v="4"/>
    <n v="364"/>
    <x v="3"/>
    <m/>
    <m/>
    <m/>
    <m/>
    <m/>
    <m/>
    <n v="17"/>
    <n v="15"/>
    <n v="17"/>
    <n v="14"/>
    <m/>
    <m/>
    <n v="22"/>
    <n v="20"/>
    <n v="15"/>
  </r>
  <r>
    <n v="365"/>
    <x v="91"/>
    <d v="2024-05-28T00:00:00"/>
    <n v="99"/>
    <x v="2"/>
    <x v="0"/>
    <n v="250"/>
    <x v="0"/>
    <m/>
    <m/>
    <m/>
    <m/>
    <m/>
    <m/>
    <n v="23"/>
    <m/>
    <n v="17"/>
    <n v="20"/>
    <n v="19"/>
    <n v="16"/>
    <n v="23"/>
    <m/>
    <m/>
  </r>
  <r>
    <n v="366"/>
    <x v="14"/>
    <d v="2024-05-17T00:00:00"/>
    <n v="100"/>
    <x v="4"/>
    <x v="4"/>
    <n v="498"/>
    <x v="1"/>
    <m/>
    <m/>
    <m/>
    <m/>
    <m/>
    <m/>
    <n v="23"/>
    <n v="18"/>
    <n v="22"/>
    <n v="16"/>
    <m/>
    <m/>
    <n v="17"/>
    <n v="18"/>
    <n v="19"/>
  </r>
  <r>
    <n v="367"/>
    <x v="32"/>
    <d v="2024-05-03T00:00:00"/>
    <n v="44"/>
    <x v="1"/>
    <x v="1"/>
    <n v="161"/>
    <x v="1"/>
    <n v="23"/>
    <n v="43"/>
    <n v="21"/>
    <n v="20"/>
    <m/>
    <n v="29"/>
    <n v="15"/>
    <n v="16"/>
    <m/>
    <m/>
    <m/>
    <m/>
    <m/>
    <m/>
    <m/>
  </r>
  <r>
    <n v="368"/>
    <x v="83"/>
    <d v="2024-05-07T00:00:00"/>
    <n v="25"/>
    <x v="0"/>
    <x v="1"/>
    <n v="179"/>
    <x v="1"/>
    <n v="17"/>
    <n v="48"/>
    <n v="19"/>
    <n v="20"/>
    <n v="16"/>
    <m/>
    <m/>
    <m/>
    <m/>
    <m/>
    <m/>
    <m/>
    <m/>
    <m/>
    <m/>
  </r>
  <r>
    <n v="369"/>
    <x v="5"/>
    <d v="2024-04-30T00:00:00"/>
    <n v="35"/>
    <x v="0"/>
    <x v="4"/>
    <n v="275"/>
    <x v="0"/>
    <n v="23"/>
    <n v="47"/>
    <n v="21"/>
    <n v="22"/>
    <n v="24"/>
    <m/>
    <m/>
    <m/>
    <m/>
    <m/>
    <m/>
    <m/>
    <m/>
    <m/>
    <m/>
  </r>
  <r>
    <n v="370"/>
    <x v="36"/>
    <d v="2024-05-13T00:00:00"/>
    <n v="126"/>
    <x v="3"/>
    <x v="4"/>
    <n v="172"/>
    <x v="4"/>
    <n v="23"/>
    <n v="49"/>
    <n v="22"/>
    <n v="14"/>
    <n v="19"/>
    <n v="41"/>
    <n v="14"/>
    <m/>
    <n v="18"/>
    <n v="15"/>
    <m/>
    <m/>
    <m/>
    <m/>
    <m/>
  </r>
  <r>
    <n v="371"/>
    <x v="5"/>
    <d v="2024-05-05T00:00:00"/>
    <n v="40"/>
    <x v="4"/>
    <x v="2"/>
    <n v="193"/>
    <x v="1"/>
    <m/>
    <m/>
    <m/>
    <m/>
    <m/>
    <m/>
    <n v="15"/>
    <n v="18"/>
    <n v="23"/>
    <n v="20"/>
    <m/>
    <m/>
    <n v="22"/>
    <n v="24"/>
    <n v="14"/>
  </r>
  <r>
    <n v="372"/>
    <x v="96"/>
    <d v="2024-05-05T00:00:00"/>
    <n v="56"/>
    <x v="0"/>
    <x v="1"/>
    <n v="96"/>
    <x v="0"/>
    <n v="24"/>
    <n v="49"/>
    <n v="17"/>
    <n v="23"/>
    <n v="18"/>
    <m/>
    <m/>
    <m/>
    <m/>
    <m/>
    <m/>
    <m/>
    <m/>
    <m/>
    <m/>
  </r>
  <r>
    <n v="373"/>
    <x v="6"/>
    <d v="2024-05-28T00:00:00"/>
    <n v="144"/>
    <x v="2"/>
    <x v="0"/>
    <n v="385"/>
    <x v="2"/>
    <m/>
    <m/>
    <m/>
    <m/>
    <m/>
    <m/>
    <n v="21"/>
    <m/>
    <n v="15"/>
    <n v="15"/>
    <n v="20"/>
    <n v="16"/>
    <n v="21"/>
    <m/>
    <m/>
  </r>
  <r>
    <n v="374"/>
    <x v="53"/>
    <d v="2024-05-10T00:00:00"/>
    <n v="56"/>
    <x v="0"/>
    <x v="1"/>
    <n v="269"/>
    <x v="3"/>
    <n v="22"/>
    <n v="28"/>
    <n v="21"/>
    <n v="22"/>
    <n v="24"/>
    <m/>
    <m/>
    <m/>
    <m/>
    <m/>
    <m/>
    <m/>
    <m/>
    <m/>
    <m/>
  </r>
  <r>
    <n v="375"/>
    <x v="70"/>
    <d v="2024-04-30T00:00:00"/>
    <n v="85"/>
    <x v="1"/>
    <x v="1"/>
    <n v="287"/>
    <x v="0"/>
    <n v="19"/>
    <n v="41"/>
    <n v="24"/>
    <n v="15"/>
    <m/>
    <n v="29"/>
    <n v="21"/>
    <n v="15"/>
    <m/>
    <m/>
    <m/>
    <m/>
    <m/>
    <m/>
    <m/>
  </r>
  <r>
    <n v="376"/>
    <x v="56"/>
    <d v="2024-05-02T00:00:00"/>
    <n v="61"/>
    <x v="2"/>
    <x v="3"/>
    <n v="443"/>
    <x v="4"/>
    <m/>
    <m/>
    <m/>
    <m/>
    <m/>
    <m/>
    <n v="17"/>
    <m/>
    <n v="21"/>
    <n v="22"/>
    <n v="24"/>
    <n v="20"/>
    <n v="16"/>
    <m/>
    <m/>
  </r>
  <r>
    <n v="377"/>
    <x v="2"/>
    <d v="2024-05-15T00:00:00"/>
    <n v="113"/>
    <x v="1"/>
    <x v="3"/>
    <n v="78"/>
    <x v="1"/>
    <n v="22"/>
    <n v="41"/>
    <n v="23"/>
    <n v="16"/>
    <m/>
    <n v="45"/>
    <n v="22"/>
    <n v="24"/>
    <m/>
    <m/>
    <m/>
    <m/>
    <m/>
    <m/>
    <m/>
  </r>
  <r>
    <n v="378"/>
    <x v="55"/>
    <d v="2024-05-01T00:00:00"/>
    <n v="28"/>
    <x v="3"/>
    <x v="3"/>
    <n v="90"/>
    <x v="4"/>
    <n v="22"/>
    <n v="25"/>
    <n v="17"/>
    <n v="24"/>
    <n v="17"/>
    <n v="37"/>
    <n v="23"/>
    <m/>
    <n v="18"/>
    <n v="15"/>
    <m/>
    <m/>
    <m/>
    <m/>
    <m/>
  </r>
  <r>
    <n v="379"/>
    <x v="116"/>
    <d v="2024-05-02T00:00:00"/>
    <n v="116"/>
    <x v="3"/>
    <x v="3"/>
    <n v="469"/>
    <x v="1"/>
    <n v="23"/>
    <n v="43"/>
    <n v="14"/>
    <n v="21"/>
    <n v="16"/>
    <n v="42"/>
    <n v="23"/>
    <m/>
    <n v="18"/>
    <n v="23"/>
    <m/>
    <m/>
    <m/>
    <m/>
    <m/>
  </r>
  <r>
    <n v="380"/>
    <x v="107"/>
    <d v="2024-05-01T00:00:00"/>
    <n v="120"/>
    <x v="2"/>
    <x v="4"/>
    <n v="273"/>
    <x v="2"/>
    <m/>
    <m/>
    <m/>
    <m/>
    <m/>
    <m/>
    <n v="15"/>
    <m/>
    <n v="18"/>
    <n v="16"/>
    <n v="21"/>
    <n v="19"/>
    <n v="14"/>
    <m/>
    <m/>
  </r>
  <r>
    <n v="381"/>
    <x v="61"/>
    <d v="2024-04-29T00:00:00"/>
    <n v="74"/>
    <x v="0"/>
    <x v="4"/>
    <n v="283"/>
    <x v="3"/>
    <n v="18"/>
    <n v="44"/>
    <n v="24"/>
    <n v="24"/>
    <n v="22"/>
    <m/>
    <m/>
    <m/>
    <m/>
    <m/>
    <m/>
    <m/>
    <m/>
    <m/>
    <m/>
  </r>
  <r>
    <n v="382"/>
    <x v="5"/>
    <d v="2024-05-08T00:00:00"/>
    <n v="43"/>
    <x v="0"/>
    <x v="3"/>
    <n v="56"/>
    <x v="4"/>
    <n v="24"/>
    <n v="49"/>
    <n v="16"/>
    <n v="19"/>
    <n v="23"/>
    <m/>
    <m/>
    <m/>
    <m/>
    <m/>
    <m/>
    <m/>
    <m/>
    <m/>
    <m/>
  </r>
  <r>
    <n v="383"/>
    <x v="49"/>
    <d v="2024-05-17T00:00:00"/>
    <n v="104"/>
    <x v="1"/>
    <x v="3"/>
    <n v="259"/>
    <x v="4"/>
    <n v="22"/>
    <n v="25"/>
    <n v="14"/>
    <n v="17"/>
    <m/>
    <n v="37"/>
    <n v="17"/>
    <n v="23"/>
    <m/>
    <m/>
    <m/>
    <m/>
    <m/>
    <m/>
    <m/>
  </r>
  <r>
    <n v="384"/>
    <x v="97"/>
    <d v="2024-05-25T00:00:00"/>
    <n v="109"/>
    <x v="0"/>
    <x v="4"/>
    <n v="369"/>
    <x v="4"/>
    <n v="20"/>
    <n v="39"/>
    <n v="18"/>
    <n v="17"/>
    <n v="20"/>
    <m/>
    <m/>
    <m/>
    <m/>
    <m/>
    <m/>
    <m/>
    <m/>
    <m/>
    <m/>
  </r>
  <r>
    <n v="385"/>
    <x v="24"/>
    <d v="2024-05-25T00:00:00"/>
    <n v="124"/>
    <x v="4"/>
    <x v="3"/>
    <n v="63"/>
    <x v="3"/>
    <m/>
    <m/>
    <m/>
    <m/>
    <m/>
    <m/>
    <n v="24"/>
    <n v="22"/>
    <n v="18"/>
    <n v="17"/>
    <m/>
    <m/>
    <n v="22"/>
    <n v="14"/>
    <n v="17"/>
  </r>
  <r>
    <n v="386"/>
    <x v="45"/>
    <d v="2024-05-13T00:00:00"/>
    <n v="113"/>
    <x v="0"/>
    <x v="3"/>
    <n v="398"/>
    <x v="0"/>
    <n v="21"/>
    <n v="48"/>
    <n v="20"/>
    <n v="14"/>
    <n v="22"/>
    <m/>
    <m/>
    <m/>
    <m/>
    <m/>
    <m/>
    <m/>
    <m/>
    <m/>
    <m/>
  </r>
  <r>
    <n v="387"/>
    <x v="20"/>
    <d v="2024-05-19T00:00:00"/>
    <n v="31"/>
    <x v="2"/>
    <x v="1"/>
    <n v="88"/>
    <x v="4"/>
    <m/>
    <m/>
    <m/>
    <m/>
    <m/>
    <m/>
    <n v="22"/>
    <m/>
    <n v="21"/>
    <n v="20"/>
    <n v="15"/>
    <n v="14"/>
    <n v="22"/>
    <m/>
    <m/>
  </r>
  <r>
    <n v="388"/>
    <x v="113"/>
    <d v="2024-05-06T00:00:00"/>
    <n v="110"/>
    <x v="0"/>
    <x v="2"/>
    <n v="500"/>
    <x v="0"/>
    <n v="14"/>
    <n v="23"/>
    <n v="23"/>
    <n v="17"/>
    <n v="19"/>
    <m/>
    <m/>
    <m/>
    <m/>
    <m/>
    <m/>
    <m/>
    <m/>
    <m/>
    <m/>
  </r>
  <r>
    <n v="389"/>
    <x v="11"/>
    <d v="2024-05-15T00:00:00"/>
    <n v="67"/>
    <x v="1"/>
    <x v="1"/>
    <n v="240"/>
    <x v="4"/>
    <n v="24"/>
    <n v="20"/>
    <n v="22"/>
    <n v="21"/>
    <m/>
    <n v="47"/>
    <n v="22"/>
    <n v="16"/>
    <m/>
    <m/>
    <m/>
    <m/>
    <m/>
    <m/>
    <m/>
  </r>
  <r>
    <n v="390"/>
    <x v="27"/>
    <d v="2024-05-15T00:00:00"/>
    <n v="127"/>
    <x v="1"/>
    <x v="0"/>
    <n v="185"/>
    <x v="4"/>
    <n v="24"/>
    <n v="20"/>
    <n v="18"/>
    <n v="19"/>
    <m/>
    <n v="22"/>
    <n v="20"/>
    <n v="20"/>
    <m/>
    <m/>
    <m/>
    <m/>
    <m/>
    <m/>
    <m/>
  </r>
  <r>
    <n v="391"/>
    <x v="29"/>
    <d v="2024-05-02T00:00:00"/>
    <n v="74"/>
    <x v="3"/>
    <x v="3"/>
    <n v="288"/>
    <x v="4"/>
    <n v="18"/>
    <n v="33"/>
    <n v="15"/>
    <n v="20"/>
    <n v="18"/>
    <n v="47"/>
    <n v="21"/>
    <m/>
    <n v="18"/>
    <n v="17"/>
    <m/>
    <m/>
    <m/>
    <m/>
    <m/>
  </r>
  <r>
    <n v="392"/>
    <x v="53"/>
    <d v="2024-04-29T00:00:00"/>
    <n v="45"/>
    <x v="2"/>
    <x v="1"/>
    <n v="98"/>
    <x v="3"/>
    <m/>
    <m/>
    <m/>
    <m/>
    <m/>
    <m/>
    <n v="14"/>
    <m/>
    <n v="19"/>
    <n v="22"/>
    <n v="24"/>
    <n v="24"/>
    <n v="21"/>
    <m/>
    <m/>
  </r>
  <r>
    <n v="393"/>
    <x v="61"/>
    <d v="2024-05-25T00:00:00"/>
    <n v="100"/>
    <x v="3"/>
    <x v="1"/>
    <n v="429"/>
    <x v="3"/>
    <n v="22"/>
    <n v="30"/>
    <n v="19"/>
    <n v="16"/>
    <n v="16"/>
    <n v="26"/>
    <n v="18"/>
    <m/>
    <n v="18"/>
    <n v="16"/>
    <m/>
    <m/>
    <m/>
    <m/>
    <m/>
  </r>
  <r>
    <n v="394"/>
    <x v="117"/>
    <d v="2024-05-03T00:00:00"/>
    <n v="85"/>
    <x v="1"/>
    <x v="0"/>
    <n v="315"/>
    <x v="4"/>
    <n v="18"/>
    <n v="30"/>
    <n v="23"/>
    <n v="15"/>
    <m/>
    <n v="20"/>
    <n v="21"/>
    <n v="17"/>
    <m/>
    <m/>
    <m/>
    <m/>
    <m/>
    <m/>
    <m/>
  </r>
  <r>
    <n v="395"/>
    <x v="39"/>
    <d v="2024-05-18T00:00:00"/>
    <n v="20"/>
    <x v="4"/>
    <x v="4"/>
    <n v="496"/>
    <x v="1"/>
    <m/>
    <m/>
    <m/>
    <m/>
    <m/>
    <m/>
    <n v="15"/>
    <n v="17"/>
    <n v="14"/>
    <n v="15"/>
    <m/>
    <m/>
    <n v="20"/>
    <n v="24"/>
    <n v="18"/>
  </r>
  <r>
    <n v="396"/>
    <x v="67"/>
    <d v="2024-05-13T00:00:00"/>
    <n v="131"/>
    <x v="4"/>
    <x v="4"/>
    <n v="64"/>
    <x v="4"/>
    <m/>
    <m/>
    <m/>
    <m/>
    <m/>
    <m/>
    <n v="17"/>
    <n v="17"/>
    <n v="20"/>
    <n v="20"/>
    <m/>
    <m/>
    <n v="16"/>
    <n v="18"/>
    <n v="23"/>
  </r>
  <r>
    <n v="397"/>
    <x v="105"/>
    <d v="2024-05-07T00:00:00"/>
    <n v="60"/>
    <x v="0"/>
    <x v="1"/>
    <n v="261"/>
    <x v="3"/>
    <n v="21"/>
    <n v="41"/>
    <n v="21"/>
    <n v="14"/>
    <n v="23"/>
    <m/>
    <m/>
    <m/>
    <m/>
    <m/>
    <m/>
    <m/>
    <m/>
    <m/>
    <m/>
  </r>
  <r>
    <n v="398"/>
    <x v="64"/>
    <d v="2024-05-06T00:00:00"/>
    <n v="12"/>
    <x v="1"/>
    <x v="3"/>
    <n v="287"/>
    <x v="2"/>
    <n v="18"/>
    <n v="27"/>
    <n v="23"/>
    <n v="20"/>
    <m/>
    <n v="26"/>
    <n v="14"/>
    <n v="22"/>
    <m/>
    <m/>
    <m/>
    <m/>
    <m/>
    <m/>
    <m/>
  </r>
  <r>
    <n v="399"/>
    <x v="59"/>
    <d v="2024-05-24T00:00:00"/>
    <n v="49"/>
    <x v="2"/>
    <x v="3"/>
    <n v="310"/>
    <x v="2"/>
    <m/>
    <m/>
    <m/>
    <m/>
    <m/>
    <m/>
    <n v="22"/>
    <m/>
    <n v="19"/>
    <n v="15"/>
    <n v="24"/>
    <n v="14"/>
    <n v="23"/>
    <m/>
    <m/>
  </r>
  <r>
    <n v="400"/>
    <x v="27"/>
    <d v="2024-05-07T00:00:00"/>
    <n v="119"/>
    <x v="0"/>
    <x v="3"/>
    <n v="168"/>
    <x v="0"/>
    <n v="21"/>
    <n v="46"/>
    <n v="15"/>
    <n v="24"/>
    <n v="18"/>
    <m/>
    <m/>
    <m/>
    <m/>
    <m/>
    <m/>
    <m/>
    <m/>
    <m/>
    <m/>
  </r>
  <r>
    <n v="401"/>
    <x v="71"/>
    <d v="2024-05-04T00:00:00"/>
    <n v="84"/>
    <x v="1"/>
    <x v="3"/>
    <n v="81"/>
    <x v="1"/>
    <n v="14"/>
    <n v="43"/>
    <n v="21"/>
    <n v="16"/>
    <m/>
    <n v="39"/>
    <n v="16"/>
    <n v="20"/>
    <m/>
    <m/>
    <m/>
    <m/>
    <m/>
    <m/>
    <m/>
  </r>
  <r>
    <n v="402"/>
    <x v="107"/>
    <d v="2024-05-07T00:00:00"/>
    <n v="126"/>
    <x v="1"/>
    <x v="3"/>
    <n v="87"/>
    <x v="0"/>
    <n v="16"/>
    <n v="38"/>
    <n v="23"/>
    <n v="17"/>
    <m/>
    <n v="28"/>
    <n v="20"/>
    <n v="23"/>
    <m/>
    <m/>
    <m/>
    <m/>
    <m/>
    <m/>
    <m/>
  </r>
  <r>
    <n v="403"/>
    <x v="110"/>
    <d v="2024-04-29T00:00:00"/>
    <n v="107"/>
    <x v="0"/>
    <x v="3"/>
    <n v="394"/>
    <x v="2"/>
    <n v="16"/>
    <n v="42"/>
    <n v="15"/>
    <n v="18"/>
    <n v="20"/>
    <m/>
    <m/>
    <m/>
    <m/>
    <m/>
    <m/>
    <m/>
    <m/>
    <m/>
    <m/>
  </r>
  <r>
    <n v="404"/>
    <x v="112"/>
    <d v="2024-05-18T00:00:00"/>
    <n v="110"/>
    <x v="1"/>
    <x v="4"/>
    <n v="331"/>
    <x v="3"/>
    <n v="17"/>
    <n v="38"/>
    <n v="23"/>
    <n v="19"/>
    <m/>
    <n v="33"/>
    <n v="14"/>
    <n v="22"/>
    <m/>
    <m/>
    <m/>
    <m/>
    <m/>
    <m/>
    <m/>
  </r>
  <r>
    <n v="405"/>
    <x v="41"/>
    <d v="2024-05-15T00:00:00"/>
    <n v="84"/>
    <x v="3"/>
    <x v="1"/>
    <n v="84"/>
    <x v="1"/>
    <n v="20"/>
    <n v="39"/>
    <n v="17"/>
    <n v="16"/>
    <n v="19"/>
    <n v="45"/>
    <n v="16"/>
    <m/>
    <n v="20"/>
    <n v="16"/>
    <m/>
    <m/>
    <m/>
    <m/>
    <m/>
  </r>
  <r>
    <n v="406"/>
    <x v="35"/>
    <d v="2024-05-27T00:00:00"/>
    <n v="91"/>
    <x v="0"/>
    <x v="1"/>
    <n v="433"/>
    <x v="3"/>
    <n v="19"/>
    <n v="35"/>
    <n v="14"/>
    <n v="22"/>
    <n v="24"/>
    <m/>
    <m/>
    <m/>
    <m/>
    <m/>
    <m/>
    <m/>
    <m/>
    <m/>
    <m/>
  </r>
  <r>
    <n v="407"/>
    <x v="90"/>
    <d v="2024-05-13T00:00:00"/>
    <n v="91"/>
    <x v="2"/>
    <x v="1"/>
    <n v="369"/>
    <x v="0"/>
    <m/>
    <m/>
    <m/>
    <m/>
    <m/>
    <m/>
    <n v="20"/>
    <m/>
    <n v="16"/>
    <n v="18"/>
    <n v="22"/>
    <n v="15"/>
    <n v="20"/>
    <m/>
    <m/>
  </r>
  <r>
    <n v="408"/>
    <x v="28"/>
    <d v="2024-05-19T00:00:00"/>
    <n v="23"/>
    <x v="3"/>
    <x v="4"/>
    <n v="197"/>
    <x v="2"/>
    <n v="18"/>
    <n v="47"/>
    <n v="15"/>
    <n v="15"/>
    <n v="22"/>
    <n v="28"/>
    <n v="17"/>
    <m/>
    <n v="17"/>
    <n v="20"/>
    <m/>
    <m/>
    <m/>
    <m/>
    <m/>
  </r>
  <r>
    <n v="409"/>
    <x v="64"/>
    <d v="2024-05-11T00:00:00"/>
    <n v="17"/>
    <x v="0"/>
    <x v="1"/>
    <n v="53"/>
    <x v="0"/>
    <n v="22"/>
    <n v="35"/>
    <n v="14"/>
    <n v="19"/>
    <n v="16"/>
    <m/>
    <m/>
    <m/>
    <m/>
    <m/>
    <m/>
    <m/>
    <m/>
    <m/>
    <m/>
  </r>
  <r>
    <n v="410"/>
    <x v="59"/>
    <d v="2024-05-01T00:00:00"/>
    <n v="26"/>
    <x v="2"/>
    <x v="1"/>
    <n v="296"/>
    <x v="3"/>
    <m/>
    <m/>
    <m/>
    <m/>
    <m/>
    <m/>
    <n v="20"/>
    <m/>
    <n v="20"/>
    <n v="14"/>
    <n v="22"/>
    <n v="16"/>
    <n v="17"/>
    <m/>
    <m/>
  </r>
  <r>
    <n v="411"/>
    <x v="102"/>
    <d v="2024-04-30T00:00:00"/>
    <n v="74"/>
    <x v="0"/>
    <x v="4"/>
    <n v="486"/>
    <x v="2"/>
    <n v="15"/>
    <n v="25"/>
    <n v="16"/>
    <n v="18"/>
    <n v="15"/>
    <m/>
    <m/>
    <m/>
    <m/>
    <m/>
    <m/>
    <m/>
    <m/>
    <m/>
    <m/>
  </r>
  <r>
    <n v="412"/>
    <x v="56"/>
    <d v="2024-05-22T00:00:00"/>
    <n v="81"/>
    <x v="1"/>
    <x v="3"/>
    <n v="291"/>
    <x v="0"/>
    <n v="17"/>
    <n v="23"/>
    <n v="17"/>
    <n v="17"/>
    <m/>
    <n v="40"/>
    <n v="14"/>
    <n v="17"/>
    <m/>
    <m/>
    <m/>
    <m/>
    <m/>
    <m/>
    <m/>
  </r>
  <r>
    <n v="413"/>
    <x v="7"/>
    <d v="2024-05-05T00:00:00"/>
    <n v="78"/>
    <x v="0"/>
    <x v="2"/>
    <n v="263"/>
    <x v="1"/>
    <n v="22"/>
    <n v="32"/>
    <n v="20"/>
    <n v="15"/>
    <n v="19"/>
    <m/>
    <m/>
    <m/>
    <m/>
    <m/>
    <m/>
    <m/>
    <m/>
    <m/>
    <m/>
  </r>
  <r>
    <n v="414"/>
    <x v="69"/>
    <d v="2024-05-11T00:00:00"/>
    <n v="51"/>
    <x v="2"/>
    <x v="1"/>
    <n v="145"/>
    <x v="0"/>
    <m/>
    <m/>
    <m/>
    <m/>
    <m/>
    <m/>
    <n v="14"/>
    <m/>
    <n v="23"/>
    <n v="24"/>
    <n v="21"/>
    <n v="16"/>
    <n v="17"/>
    <m/>
    <m/>
  </r>
  <r>
    <n v="415"/>
    <x v="59"/>
    <d v="2024-05-02T00:00:00"/>
    <n v="27"/>
    <x v="4"/>
    <x v="1"/>
    <n v="233"/>
    <x v="2"/>
    <m/>
    <m/>
    <m/>
    <m/>
    <m/>
    <m/>
    <n v="14"/>
    <n v="20"/>
    <n v="21"/>
    <n v="20"/>
    <m/>
    <m/>
    <n v="21"/>
    <n v="20"/>
    <n v="24"/>
  </r>
  <r>
    <n v="416"/>
    <x v="24"/>
    <d v="2024-05-11T00:00:00"/>
    <n v="110"/>
    <x v="3"/>
    <x v="2"/>
    <n v="453"/>
    <x v="0"/>
    <n v="15"/>
    <n v="34"/>
    <n v="20"/>
    <n v="15"/>
    <n v="15"/>
    <n v="47"/>
    <n v="15"/>
    <m/>
    <n v="18"/>
    <n v="23"/>
    <m/>
    <m/>
    <m/>
    <m/>
    <m/>
  </r>
  <r>
    <n v="417"/>
    <x v="2"/>
    <d v="2024-05-04T00:00:00"/>
    <n v="102"/>
    <x v="0"/>
    <x v="1"/>
    <n v="375"/>
    <x v="1"/>
    <n v="24"/>
    <n v="23"/>
    <n v="22"/>
    <n v="19"/>
    <n v="22"/>
    <m/>
    <m/>
    <m/>
    <m/>
    <m/>
    <m/>
    <m/>
    <m/>
    <m/>
    <m/>
  </r>
  <r>
    <n v="418"/>
    <x v="71"/>
    <d v="2024-05-04T00:00:00"/>
    <n v="84"/>
    <x v="3"/>
    <x v="0"/>
    <n v="404"/>
    <x v="0"/>
    <n v="22"/>
    <n v="50"/>
    <n v="23"/>
    <n v="16"/>
    <n v="15"/>
    <n v="26"/>
    <n v="16"/>
    <m/>
    <n v="14"/>
    <n v="14"/>
    <m/>
    <m/>
    <m/>
    <m/>
    <m/>
  </r>
  <r>
    <n v="419"/>
    <x v="9"/>
    <d v="2024-05-26T00:00:00"/>
    <n v="133"/>
    <x v="1"/>
    <x v="4"/>
    <n v="374"/>
    <x v="2"/>
    <n v="19"/>
    <n v="26"/>
    <n v="19"/>
    <n v="15"/>
    <m/>
    <n v="36"/>
    <n v="14"/>
    <n v="20"/>
    <m/>
    <m/>
    <m/>
    <m/>
    <m/>
    <m/>
    <m/>
  </r>
  <r>
    <n v="420"/>
    <x v="68"/>
    <d v="2024-05-28T00:00:00"/>
    <n v="91"/>
    <x v="1"/>
    <x v="0"/>
    <n v="421"/>
    <x v="4"/>
    <n v="20"/>
    <n v="29"/>
    <n v="19"/>
    <n v="20"/>
    <m/>
    <n v="34"/>
    <n v="16"/>
    <n v="19"/>
    <m/>
    <m/>
    <m/>
    <m/>
    <m/>
    <m/>
    <m/>
  </r>
  <r>
    <n v="421"/>
    <x v="45"/>
    <d v="2024-05-10T00:00:00"/>
    <n v="110"/>
    <x v="3"/>
    <x v="2"/>
    <n v="338"/>
    <x v="1"/>
    <n v="18"/>
    <n v="41"/>
    <n v="16"/>
    <n v="18"/>
    <n v="18"/>
    <n v="21"/>
    <n v="23"/>
    <m/>
    <n v="17"/>
    <n v="15"/>
    <m/>
    <m/>
    <m/>
    <m/>
    <m/>
  </r>
  <r>
    <n v="422"/>
    <x v="28"/>
    <d v="2024-05-06T00:00:00"/>
    <n v="10"/>
    <x v="1"/>
    <x v="4"/>
    <n v="238"/>
    <x v="1"/>
    <n v="19"/>
    <n v="38"/>
    <n v="22"/>
    <n v="18"/>
    <m/>
    <n v="23"/>
    <n v="22"/>
    <n v="14"/>
    <m/>
    <m/>
    <m/>
    <m/>
    <m/>
    <m/>
    <m/>
  </r>
  <r>
    <n v="423"/>
    <x v="10"/>
    <d v="2024-05-28T00:00:00"/>
    <n v="93"/>
    <x v="1"/>
    <x v="0"/>
    <n v="263"/>
    <x v="0"/>
    <n v="17"/>
    <n v="42"/>
    <n v="20"/>
    <n v="20"/>
    <m/>
    <n v="41"/>
    <n v="17"/>
    <n v="20"/>
    <m/>
    <m/>
    <m/>
    <m/>
    <m/>
    <m/>
    <m/>
  </r>
  <r>
    <n v="424"/>
    <x v="21"/>
    <d v="2024-05-13T00:00:00"/>
    <n v="30"/>
    <x v="0"/>
    <x v="4"/>
    <n v="202"/>
    <x v="3"/>
    <n v="14"/>
    <n v="30"/>
    <n v="16"/>
    <n v="14"/>
    <n v="19"/>
    <m/>
    <m/>
    <m/>
    <m/>
    <m/>
    <m/>
    <m/>
    <m/>
    <m/>
    <m/>
  </r>
  <r>
    <n v="425"/>
    <x v="61"/>
    <d v="2024-05-22T00:00:00"/>
    <n v="97"/>
    <x v="0"/>
    <x v="0"/>
    <n v="384"/>
    <x v="2"/>
    <n v="17"/>
    <n v="30"/>
    <n v="21"/>
    <n v="18"/>
    <n v="16"/>
    <m/>
    <m/>
    <m/>
    <m/>
    <m/>
    <m/>
    <m/>
    <m/>
    <m/>
    <m/>
  </r>
  <r>
    <n v="426"/>
    <x v="21"/>
    <d v="2024-05-05T00:00:00"/>
    <n v="22"/>
    <x v="3"/>
    <x v="2"/>
    <n v="243"/>
    <x v="3"/>
    <n v="15"/>
    <n v="41"/>
    <n v="19"/>
    <n v="20"/>
    <n v="19"/>
    <n v="28"/>
    <n v="23"/>
    <m/>
    <n v="14"/>
    <n v="19"/>
    <m/>
    <m/>
    <m/>
    <m/>
    <m/>
  </r>
  <r>
    <n v="427"/>
    <x v="106"/>
    <d v="2024-05-08T00:00:00"/>
    <n v="42"/>
    <x v="1"/>
    <x v="1"/>
    <n v="155"/>
    <x v="4"/>
    <n v="19"/>
    <n v="38"/>
    <n v="22"/>
    <n v="17"/>
    <m/>
    <n v="35"/>
    <n v="20"/>
    <n v="15"/>
    <m/>
    <m/>
    <m/>
    <m/>
    <m/>
    <m/>
    <m/>
  </r>
  <r>
    <n v="428"/>
    <x v="1"/>
    <d v="2024-05-24T00:00:00"/>
    <n v="127"/>
    <x v="3"/>
    <x v="2"/>
    <n v="245"/>
    <x v="4"/>
    <n v="22"/>
    <n v="34"/>
    <n v="14"/>
    <n v="18"/>
    <n v="18"/>
    <n v="23"/>
    <n v="24"/>
    <m/>
    <n v="23"/>
    <n v="24"/>
    <m/>
    <m/>
    <m/>
    <m/>
    <m/>
  </r>
  <r>
    <n v="429"/>
    <x v="17"/>
    <d v="2024-05-03T00:00:00"/>
    <n v="45"/>
    <x v="2"/>
    <x v="0"/>
    <n v="144"/>
    <x v="2"/>
    <m/>
    <m/>
    <m/>
    <m/>
    <m/>
    <m/>
    <n v="24"/>
    <m/>
    <n v="14"/>
    <n v="15"/>
    <n v="19"/>
    <n v="20"/>
    <n v="19"/>
    <m/>
    <m/>
  </r>
  <r>
    <n v="430"/>
    <x v="2"/>
    <d v="2024-05-17T00:00:00"/>
    <n v="115"/>
    <x v="0"/>
    <x v="0"/>
    <n v="484"/>
    <x v="0"/>
    <n v="20"/>
    <n v="32"/>
    <n v="23"/>
    <n v="22"/>
    <n v="17"/>
    <m/>
    <m/>
    <m/>
    <m/>
    <m/>
    <m/>
    <m/>
    <m/>
    <m/>
    <m/>
  </r>
  <r>
    <n v="431"/>
    <x v="113"/>
    <d v="2024-05-21T00:00:00"/>
    <n v="125"/>
    <x v="4"/>
    <x v="2"/>
    <n v="137"/>
    <x v="0"/>
    <m/>
    <m/>
    <m/>
    <m/>
    <m/>
    <m/>
    <n v="23"/>
    <n v="18"/>
    <n v="20"/>
    <n v="16"/>
    <m/>
    <m/>
    <n v="16"/>
    <n v="20"/>
    <n v="15"/>
  </r>
  <r>
    <n v="432"/>
    <x v="61"/>
    <d v="2024-05-24T00:00:00"/>
    <n v="99"/>
    <x v="1"/>
    <x v="0"/>
    <n v="206"/>
    <x v="2"/>
    <n v="17"/>
    <n v="41"/>
    <n v="21"/>
    <n v="19"/>
    <m/>
    <n v="30"/>
    <n v="22"/>
    <n v="15"/>
    <m/>
    <m/>
    <m/>
    <m/>
    <m/>
    <m/>
    <m/>
  </r>
  <r>
    <n v="433"/>
    <x v="92"/>
    <d v="2024-05-07T00:00:00"/>
    <n v="96"/>
    <x v="3"/>
    <x v="4"/>
    <n v="403"/>
    <x v="0"/>
    <n v="22"/>
    <n v="26"/>
    <n v="15"/>
    <n v="19"/>
    <n v="20"/>
    <n v="20"/>
    <n v="23"/>
    <m/>
    <n v="18"/>
    <n v="16"/>
    <m/>
    <m/>
    <m/>
    <m/>
    <m/>
  </r>
  <r>
    <n v="434"/>
    <x v="69"/>
    <d v="2024-05-19T00:00:00"/>
    <n v="59"/>
    <x v="0"/>
    <x v="0"/>
    <n v="168"/>
    <x v="2"/>
    <n v="17"/>
    <n v="26"/>
    <n v="20"/>
    <n v="16"/>
    <n v="20"/>
    <m/>
    <m/>
    <m/>
    <m/>
    <m/>
    <m/>
    <m/>
    <m/>
    <m/>
    <m/>
  </r>
  <r>
    <n v="435"/>
    <x v="111"/>
    <d v="2024-05-07T00:00:00"/>
    <n v="88"/>
    <x v="0"/>
    <x v="0"/>
    <n v="57"/>
    <x v="1"/>
    <n v="19"/>
    <n v="31"/>
    <n v="15"/>
    <n v="16"/>
    <n v="20"/>
    <m/>
    <m/>
    <m/>
    <m/>
    <m/>
    <m/>
    <m/>
    <m/>
    <m/>
    <m/>
  </r>
  <r>
    <n v="436"/>
    <x v="21"/>
    <d v="2024-05-14T00:00:00"/>
    <n v="31"/>
    <x v="0"/>
    <x v="1"/>
    <n v="107"/>
    <x v="0"/>
    <n v="21"/>
    <n v="33"/>
    <n v="23"/>
    <n v="15"/>
    <n v="18"/>
    <m/>
    <m/>
    <m/>
    <m/>
    <m/>
    <m/>
    <m/>
    <m/>
    <m/>
    <m/>
  </r>
  <r>
    <n v="437"/>
    <x v="47"/>
    <d v="2024-05-19T00:00:00"/>
    <n v="62"/>
    <x v="2"/>
    <x v="0"/>
    <n v="54"/>
    <x v="4"/>
    <m/>
    <m/>
    <m/>
    <m/>
    <m/>
    <m/>
    <n v="22"/>
    <m/>
    <n v="23"/>
    <n v="14"/>
    <n v="22"/>
    <n v="19"/>
    <n v="22"/>
    <m/>
    <m/>
  </r>
  <r>
    <n v="438"/>
    <x v="95"/>
    <d v="2024-05-17T00:00:00"/>
    <n v="94"/>
    <x v="1"/>
    <x v="3"/>
    <n v="121"/>
    <x v="4"/>
    <n v="16"/>
    <n v="33"/>
    <n v="18"/>
    <n v="17"/>
    <m/>
    <n v="23"/>
    <n v="24"/>
    <n v="15"/>
    <m/>
    <m/>
    <m/>
    <m/>
    <m/>
    <m/>
    <m/>
  </r>
  <r>
    <n v="439"/>
    <x v="43"/>
    <d v="2024-04-29T00:00:00"/>
    <n v="48"/>
    <x v="2"/>
    <x v="4"/>
    <n v="195"/>
    <x v="0"/>
    <m/>
    <m/>
    <m/>
    <m/>
    <m/>
    <m/>
    <n v="19"/>
    <m/>
    <n v="24"/>
    <n v="24"/>
    <n v="16"/>
    <n v="14"/>
    <n v="18"/>
    <m/>
    <m/>
  </r>
  <r>
    <n v="440"/>
    <x v="23"/>
    <d v="2024-05-18T00:00:00"/>
    <n v="123"/>
    <x v="4"/>
    <x v="0"/>
    <n v="114"/>
    <x v="0"/>
    <m/>
    <m/>
    <m/>
    <m/>
    <m/>
    <m/>
    <n v="17"/>
    <n v="15"/>
    <n v="15"/>
    <n v="14"/>
    <m/>
    <m/>
    <n v="23"/>
    <n v="14"/>
    <n v="17"/>
  </r>
  <r>
    <n v="441"/>
    <x v="5"/>
    <d v="2024-05-08T00:00:00"/>
    <n v="43"/>
    <x v="0"/>
    <x v="3"/>
    <n v="209"/>
    <x v="3"/>
    <n v="24"/>
    <n v="42"/>
    <n v="17"/>
    <n v="19"/>
    <n v="22"/>
    <m/>
    <m/>
    <m/>
    <m/>
    <m/>
    <m/>
    <m/>
    <m/>
    <m/>
    <m/>
  </r>
  <r>
    <n v="442"/>
    <x v="26"/>
    <d v="2024-05-06T00:00:00"/>
    <n v="66"/>
    <x v="0"/>
    <x v="3"/>
    <n v="404"/>
    <x v="4"/>
    <n v="16"/>
    <n v="41"/>
    <n v="14"/>
    <n v="22"/>
    <n v="22"/>
    <m/>
    <m/>
    <m/>
    <m/>
    <m/>
    <m/>
    <m/>
    <m/>
    <m/>
    <m/>
  </r>
  <r>
    <n v="443"/>
    <x v="10"/>
    <d v="2024-05-11T00:00:00"/>
    <n v="76"/>
    <x v="0"/>
    <x v="0"/>
    <n v="246"/>
    <x v="3"/>
    <n v="18"/>
    <n v="28"/>
    <n v="18"/>
    <n v="14"/>
    <n v="18"/>
    <m/>
    <m/>
    <m/>
    <m/>
    <m/>
    <m/>
    <m/>
    <m/>
    <m/>
    <m/>
  </r>
  <r>
    <n v="444"/>
    <x v="26"/>
    <d v="2024-05-25T00:00:00"/>
    <n v="85"/>
    <x v="1"/>
    <x v="1"/>
    <n v="419"/>
    <x v="2"/>
    <n v="16"/>
    <n v="30"/>
    <n v="15"/>
    <n v="15"/>
    <m/>
    <n v="22"/>
    <n v="20"/>
    <n v="24"/>
    <m/>
    <m/>
    <m/>
    <m/>
    <m/>
    <m/>
    <m/>
  </r>
  <r>
    <n v="445"/>
    <x v="24"/>
    <d v="2024-05-18T00:00:00"/>
    <n v="117"/>
    <x v="2"/>
    <x v="0"/>
    <n v="258"/>
    <x v="3"/>
    <m/>
    <m/>
    <m/>
    <m/>
    <m/>
    <m/>
    <n v="21"/>
    <m/>
    <n v="22"/>
    <n v="19"/>
    <n v="18"/>
    <n v="23"/>
    <n v="14"/>
    <m/>
    <m/>
  </r>
  <r>
    <n v="446"/>
    <x v="23"/>
    <d v="2024-05-24T00:00:00"/>
    <n v="129"/>
    <x v="1"/>
    <x v="4"/>
    <n v="490"/>
    <x v="1"/>
    <n v="20"/>
    <n v="31"/>
    <n v="17"/>
    <n v="22"/>
    <m/>
    <n v="43"/>
    <n v="24"/>
    <n v="16"/>
    <m/>
    <m/>
    <m/>
    <m/>
    <m/>
    <m/>
    <m/>
  </r>
  <r>
    <n v="447"/>
    <x v="81"/>
    <d v="2024-05-05T00:00:00"/>
    <n v="36"/>
    <x v="3"/>
    <x v="4"/>
    <n v="353"/>
    <x v="2"/>
    <n v="14"/>
    <n v="38"/>
    <n v="14"/>
    <n v="18"/>
    <n v="24"/>
    <n v="40"/>
    <n v="22"/>
    <m/>
    <n v="22"/>
    <n v="22"/>
    <m/>
    <m/>
    <m/>
    <m/>
    <m/>
  </r>
  <r>
    <n v="448"/>
    <x v="104"/>
    <d v="2024-05-16T00:00:00"/>
    <n v="46"/>
    <x v="0"/>
    <x v="1"/>
    <n v="106"/>
    <x v="4"/>
    <n v="16"/>
    <n v="28"/>
    <n v="14"/>
    <n v="23"/>
    <n v="20"/>
    <m/>
    <m/>
    <m/>
    <m/>
    <m/>
    <m/>
    <m/>
    <m/>
    <m/>
    <m/>
  </r>
  <r>
    <n v="449"/>
    <x v="111"/>
    <d v="2024-05-21T00:00:00"/>
    <n v="102"/>
    <x v="4"/>
    <x v="0"/>
    <n v="363"/>
    <x v="1"/>
    <m/>
    <m/>
    <m/>
    <m/>
    <m/>
    <m/>
    <n v="16"/>
    <n v="14"/>
    <n v="20"/>
    <n v="23"/>
    <m/>
    <m/>
    <n v="23"/>
    <n v="19"/>
    <n v="22"/>
  </r>
  <r>
    <n v="450"/>
    <x v="54"/>
    <d v="2024-05-17T00:00:00"/>
    <n v="41"/>
    <x v="1"/>
    <x v="3"/>
    <n v="289"/>
    <x v="1"/>
    <n v="15"/>
    <n v="46"/>
    <n v="17"/>
    <n v="21"/>
    <m/>
    <n v="35"/>
    <n v="15"/>
    <n v="21"/>
    <m/>
    <m/>
    <m/>
    <m/>
    <m/>
    <m/>
    <m/>
  </r>
  <r>
    <n v="451"/>
    <x v="34"/>
    <d v="2024-05-27T00:00:00"/>
    <n v="59"/>
    <x v="1"/>
    <x v="1"/>
    <n v="329"/>
    <x v="2"/>
    <n v="19"/>
    <n v="20"/>
    <n v="22"/>
    <n v="24"/>
    <m/>
    <n v="38"/>
    <n v="21"/>
    <n v="21"/>
    <m/>
    <m/>
    <m/>
    <m/>
    <m/>
    <m/>
    <m/>
  </r>
  <r>
    <n v="452"/>
    <x v="36"/>
    <d v="2024-05-18T00:00:00"/>
    <n v="131"/>
    <x v="0"/>
    <x v="4"/>
    <n v="458"/>
    <x v="4"/>
    <n v="21"/>
    <n v="41"/>
    <n v="24"/>
    <n v="15"/>
    <n v="16"/>
    <m/>
    <m/>
    <m/>
    <m/>
    <m/>
    <m/>
    <m/>
    <m/>
    <m/>
    <m/>
  </r>
  <r>
    <n v="453"/>
    <x v="68"/>
    <d v="2024-05-04T00:00:00"/>
    <n v="67"/>
    <x v="2"/>
    <x v="0"/>
    <n v="458"/>
    <x v="4"/>
    <m/>
    <m/>
    <m/>
    <m/>
    <m/>
    <m/>
    <n v="24"/>
    <m/>
    <n v="20"/>
    <n v="22"/>
    <n v="21"/>
    <n v="20"/>
    <n v="14"/>
    <m/>
    <m/>
  </r>
  <r>
    <n v="454"/>
    <x v="93"/>
    <d v="2024-05-08T00:00:00"/>
    <n v="55"/>
    <x v="1"/>
    <x v="3"/>
    <n v="50"/>
    <x v="0"/>
    <n v="20"/>
    <n v="23"/>
    <n v="22"/>
    <n v="17"/>
    <m/>
    <n v="42"/>
    <n v="20"/>
    <n v="20"/>
    <m/>
    <m/>
    <m/>
    <m/>
    <m/>
    <m/>
    <m/>
  </r>
  <r>
    <n v="455"/>
    <x v="103"/>
    <d v="2024-05-02T00:00:00"/>
    <n v="78"/>
    <x v="4"/>
    <x v="3"/>
    <n v="487"/>
    <x v="3"/>
    <m/>
    <m/>
    <m/>
    <m/>
    <m/>
    <m/>
    <n v="16"/>
    <n v="16"/>
    <n v="21"/>
    <n v="15"/>
    <m/>
    <m/>
    <n v="14"/>
    <n v="23"/>
    <n v="17"/>
  </r>
  <r>
    <n v="456"/>
    <x v="49"/>
    <d v="2024-05-16T00:00:00"/>
    <n v="103"/>
    <x v="3"/>
    <x v="0"/>
    <n v="130"/>
    <x v="4"/>
    <n v="14"/>
    <n v="42"/>
    <n v="21"/>
    <n v="23"/>
    <n v="16"/>
    <n v="29"/>
    <n v="19"/>
    <m/>
    <n v="23"/>
    <n v="16"/>
    <m/>
    <m/>
    <m/>
    <m/>
    <m/>
  </r>
  <r>
    <n v="457"/>
    <x v="28"/>
    <d v="2024-05-04T00:00:00"/>
    <n v="8"/>
    <x v="1"/>
    <x v="2"/>
    <n v="344"/>
    <x v="3"/>
    <n v="19"/>
    <n v="40"/>
    <n v="17"/>
    <n v="22"/>
    <m/>
    <n v="25"/>
    <n v="15"/>
    <n v="24"/>
    <m/>
    <m/>
    <m/>
    <m/>
    <m/>
    <m/>
    <m/>
  </r>
  <r>
    <n v="458"/>
    <x v="2"/>
    <d v="2024-05-12T00:00:00"/>
    <n v="110"/>
    <x v="2"/>
    <x v="0"/>
    <n v="366"/>
    <x v="1"/>
    <m/>
    <m/>
    <m/>
    <m/>
    <m/>
    <m/>
    <n v="17"/>
    <m/>
    <n v="24"/>
    <n v="21"/>
    <n v="15"/>
    <n v="15"/>
    <n v="15"/>
    <m/>
    <m/>
  </r>
  <r>
    <n v="459"/>
    <x v="97"/>
    <d v="2024-05-13T00:00:00"/>
    <n v="97"/>
    <x v="3"/>
    <x v="2"/>
    <n v="210"/>
    <x v="3"/>
    <n v="22"/>
    <n v="44"/>
    <n v="24"/>
    <n v="23"/>
    <n v="18"/>
    <n v="41"/>
    <n v="17"/>
    <m/>
    <n v="15"/>
    <n v="15"/>
    <m/>
    <m/>
    <m/>
    <m/>
    <m/>
  </r>
  <r>
    <n v="460"/>
    <x v="19"/>
    <d v="2024-05-12T00:00:00"/>
    <n v="34"/>
    <x v="2"/>
    <x v="3"/>
    <n v="331"/>
    <x v="0"/>
    <m/>
    <m/>
    <m/>
    <m/>
    <m/>
    <m/>
    <n v="20"/>
    <m/>
    <n v="14"/>
    <n v="18"/>
    <n v="20"/>
    <n v="21"/>
    <n v="21"/>
    <m/>
    <m/>
  </r>
  <r>
    <n v="461"/>
    <x v="5"/>
    <d v="2024-05-27T00:00:00"/>
    <n v="62"/>
    <x v="1"/>
    <x v="0"/>
    <n v="109"/>
    <x v="2"/>
    <n v="17"/>
    <n v="20"/>
    <n v="16"/>
    <n v="23"/>
    <m/>
    <n v="34"/>
    <n v="14"/>
    <n v="18"/>
    <m/>
    <m/>
    <m/>
    <m/>
    <m/>
    <m/>
    <m/>
  </r>
  <r>
    <n v="462"/>
    <x v="7"/>
    <d v="2024-05-18T00:00:00"/>
    <n v="91"/>
    <x v="0"/>
    <x v="3"/>
    <n v="295"/>
    <x v="3"/>
    <n v="15"/>
    <n v="47"/>
    <n v="15"/>
    <n v="19"/>
    <n v="16"/>
    <m/>
    <m/>
    <m/>
    <m/>
    <m/>
    <m/>
    <m/>
    <m/>
    <m/>
    <m/>
  </r>
  <r>
    <n v="463"/>
    <x v="26"/>
    <d v="2024-05-10T00:00:00"/>
    <n v="70"/>
    <x v="3"/>
    <x v="3"/>
    <n v="345"/>
    <x v="0"/>
    <n v="14"/>
    <n v="46"/>
    <n v="21"/>
    <n v="24"/>
    <n v="18"/>
    <n v="28"/>
    <n v="21"/>
    <m/>
    <n v="22"/>
    <n v="22"/>
    <m/>
    <m/>
    <m/>
    <m/>
    <m/>
  </r>
  <r>
    <n v="464"/>
    <x v="9"/>
    <d v="2024-05-20T00:00:00"/>
    <n v="127"/>
    <x v="1"/>
    <x v="4"/>
    <n v="232"/>
    <x v="1"/>
    <n v="19"/>
    <n v="20"/>
    <n v="24"/>
    <n v="18"/>
    <m/>
    <n v="25"/>
    <n v="18"/>
    <n v="15"/>
    <m/>
    <m/>
    <m/>
    <m/>
    <m/>
    <m/>
    <m/>
  </r>
  <r>
    <n v="465"/>
    <x v="86"/>
    <d v="2024-05-07T00:00:00"/>
    <n v="118"/>
    <x v="2"/>
    <x v="2"/>
    <n v="129"/>
    <x v="3"/>
    <m/>
    <m/>
    <m/>
    <m/>
    <m/>
    <m/>
    <n v="14"/>
    <m/>
    <n v="21"/>
    <n v="16"/>
    <n v="23"/>
    <n v="24"/>
    <n v="15"/>
    <m/>
    <m/>
  </r>
  <r>
    <n v="466"/>
    <x v="18"/>
    <d v="2024-05-03T00:00:00"/>
    <n v="118"/>
    <x v="2"/>
    <x v="2"/>
    <n v="240"/>
    <x v="0"/>
    <m/>
    <m/>
    <m/>
    <m/>
    <m/>
    <m/>
    <n v="20"/>
    <m/>
    <n v="14"/>
    <n v="15"/>
    <n v="22"/>
    <n v="24"/>
    <n v="21"/>
    <m/>
    <m/>
  </r>
  <r>
    <n v="467"/>
    <x v="93"/>
    <d v="2024-05-16T00:00:00"/>
    <n v="63"/>
    <x v="1"/>
    <x v="4"/>
    <n v="331"/>
    <x v="4"/>
    <n v="16"/>
    <n v="36"/>
    <n v="15"/>
    <n v="17"/>
    <m/>
    <n v="47"/>
    <n v="20"/>
    <n v="20"/>
    <m/>
    <m/>
    <m/>
    <m/>
    <m/>
    <m/>
    <m/>
  </r>
  <r>
    <n v="468"/>
    <x v="43"/>
    <d v="2024-05-15T00:00:00"/>
    <n v="64"/>
    <x v="2"/>
    <x v="0"/>
    <n v="490"/>
    <x v="2"/>
    <m/>
    <m/>
    <m/>
    <m/>
    <m/>
    <m/>
    <n v="22"/>
    <m/>
    <n v="20"/>
    <n v="15"/>
    <n v="17"/>
    <n v="22"/>
    <n v="23"/>
    <m/>
    <m/>
  </r>
  <r>
    <n v="469"/>
    <x v="1"/>
    <d v="2024-05-06T00:00:00"/>
    <n v="109"/>
    <x v="3"/>
    <x v="3"/>
    <n v="402"/>
    <x v="3"/>
    <n v="24"/>
    <n v="41"/>
    <n v="18"/>
    <n v="22"/>
    <n v="22"/>
    <n v="26"/>
    <n v="15"/>
    <m/>
    <n v="15"/>
    <n v="20"/>
    <m/>
    <m/>
    <m/>
    <m/>
    <m/>
  </r>
  <r>
    <n v="470"/>
    <x v="115"/>
    <d v="2024-05-15T00:00:00"/>
    <n v="54"/>
    <x v="3"/>
    <x v="4"/>
    <n v="135"/>
    <x v="4"/>
    <n v="22"/>
    <n v="32"/>
    <n v="14"/>
    <n v="23"/>
    <n v="20"/>
    <n v="32"/>
    <n v="14"/>
    <m/>
    <n v="15"/>
    <n v="15"/>
    <m/>
    <m/>
    <m/>
    <m/>
    <m/>
  </r>
  <r>
    <n v="471"/>
    <x v="97"/>
    <d v="2024-05-23T00:00:00"/>
    <n v="107"/>
    <x v="2"/>
    <x v="4"/>
    <n v="433"/>
    <x v="0"/>
    <m/>
    <m/>
    <m/>
    <m/>
    <m/>
    <m/>
    <n v="14"/>
    <m/>
    <n v="20"/>
    <n v="19"/>
    <n v="24"/>
    <n v="21"/>
    <n v="20"/>
    <m/>
    <m/>
  </r>
  <r>
    <n v="472"/>
    <x v="68"/>
    <d v="2024-05-07T00:00:00"/>
    <n v="70"/>
    <x v="0"/>
    <x v="0"/>
    <n v="307"/>
    <x v="3"/>
    <n v="18"/>
    <n v="48"/>
    <n v="21"/>
    <n v="24"/>
    <n v="21"/>
    <m/>
    <m/>
    <m/>
    <m/>
    <m/>
    <m/>
    <m/>
    <m/>
    <m/>
    <m/>
  </r>
  <r>
    <n v="473"/>
    <x v="47"/>
    <d v="2024-05-22T00:00:00"/>
    <n v="65"/>
    <x v="3"/>
    <x v="1"/>
    <n v="483"/>
    <x v="0"/>
    <n v="21"/>
    <n v="33"/>
    <n v="16"/>
    <n v="14"/>
    <n v="20"/>
    <n v="29"/>
    <n v="17"/>
    <m/>
    <n v="24"/>
    <n v="23"/>
    <m/>
    <m/>
    <m/>
    <m/>
    <m/>
  </r>
  <r>
    <n v="474"/>
    <x v="16"/>
    <d v="2024-05-21T00:00:00"/>
    <n v="59"/>
    <x v="2"/>
    <x v="4"/>
    <n v="316"/>
    <x v="0"/>
    <m/>
    <m/>
    <m/>
    <m/>
    <m/>
    <m/>
    <n v="22"/>
    <m/>
    <n v="14"/>
    <n v="14"/>
    <n v="18"/>
    <n v="16"/>
    <n v="23"/>
    <m/>
    <m/>
  </r>
  <r>
    <n v="475"/>
    <x v="92"/>
    <d v="2024-05-28T00:00:00"/>
    <n v="117"/>
    <x v="3"/>
    <x v="2"/>
    <n v="425"/>
    <x v="2"/>
    <n v="14"/>
    <n v="23"/>
    <n v="17"/>
    <n v="14"/>
    <n v="17"/>
    <n v="31"/>
    <n v="18"/>
    <m/>
    <n v="17"/>
    <n v="18"/>
    <m/>
    <m/>
    <m/>
    <m/>
    <m/>
  </r>
  <r>
    <n v="476"/>
    <x v="68"/>
    <d v="2024-05-14T00:00:00"/>
    <n v="77"/>
    <x v="1"/>
    <x v="2"/>
    <n v="190"/>
    <x v="3"/>
    <n v="22"/>
    <n v="48"/>
    <n v="21"/>
    <n v="16"/>
    <m/>
    <n v="41"/>
    <n v="15"/>
    <n v="17"/>
    <m/>
    <m/>
    <m/>
    <m/>
    <m/>
    <m/>
    <m/>
  </r>
  <r>
    <n v="477"/>
    <x v="42"/>
    <d v="2024-05-04T00:00:00"/>
    <n v="92"/>
    <x v="2"/>
    <x v="4"/>
    <n v="366"/>
    <x v="2"/>
    <m/>
    <m/>
    <m/>
    <m/>
    <m/>
    <m/>
    <n v="23"/>
    <m/>
    <n v="15"/>
    <n v="19"/>
    <n v="24"/>
    <n v="18"/>
    <n v="19"/>
    <m/>
    <m/>
  </r>
  <r>
    <n v="478"/>
    <x v="66"/>
    <d v="2024-05-09T00:00:00"/>
    <n v="67"/>
    <x v="2"/>
    <x v="4"/>
    <n v="92"/>
    <x v="3"/>
    <m/>
    <m/>
    <m/>
    <m/>
    <m/>
    <m/>
    <n v="22"/>
    <m/>
    <n v="17"/>
    <n v="23"/>
    <n v="20"/>
    <n v="16"/>
    <n v="19"/>
    <m/>
    <m/>
  </r>
  <r>
    <n v="479"/>
    <x v="12"/>
    <d v="2024-05-04T00:00:00"/>
    <n v="121"/>
    <x v="1"/>
    <x v="2"/>
    <n v="229"/>
    <x v="3"/>
    <n v="14"/>
    <n v="41"/>
    <n v="18"/>
    <n v="16"/>
    <m/>
    <n v="21"/>
    <n v="17"/>
    <n v="15"/>
    <m/>
    <m/>
    <m/>
    <m/>
    <m/>
    <m/>
    <m/>
  </r>
  <r>
    <n v="480"/>
    <x v="118"/>
    <d v="2024-05-06T00:00:00"/>
    <n v="112"/>
    <x v="3"/>
    <x v="1"/>
    <n v="388"/>
    <x v="2"/>
    <n v="19"/>
    <n v="46"/>
    <n v="23"/>
    <n v="15"/>
    <n v="16"/>
    <n v="43"/>
    <n v="24"/>
    <m/>
    <n v="24"/>
    <n v="24"/>
    <m/>
    <m/>
    <m/>
    <m/>
    <m/>
  </r>
  <r>
    <n v="481"/>
    <x v="42"/>
    <d v="2024-05-08T00:00:00"/>
    <n v="96"/>
    <x v="0"/>
    <x v="3"/>
    <n v="340"/>
    <x v="0"/>
    <n v="21"/>
    <n v="44"/>
    <n v="24"/>
    <n v="18"/>
    <n v="17"/>
    <m/>
    <m/>
    <m/>
    <m/>
    <m/>
    <m/>
    <m/>
    <m/>
    <m/>
    <m/>
  </r>
  <r>
    <n v="482"/>
    <x v="74"/>
    <d v="2024-05-17T00:00:00"/>
    <n v="103"/>
    <x v="3"/>
    <x v="3"/>
    <n v="237"/>
    <x v="2"/>
    <n v="14"/>
    <n v="31"/>
    <n v="22"/>
    <n v="23"/>
    <n v="19"/>
    <n v="43"/>
    <n v="21"/>
    <m/>
    <n v="18"/>
    <n v="21"/>
    <m/>
    <m/>
    <m/>
    <m/>
    <m/>
  </r>
  <r>
    <n v="483"/>
    <x v="2"/>
    <d v="2024-05-11T00:00:00"/>
    <n v="109"/>
    <x v="0"/>
    <x v="1"/>
    <n v="421"/>
    <x v="0"/>
    <n v="14"/>
    <n v="39"/>
    <n v="24"/>
    <n v="16"/>
    <n v="23"/>
    <m/>
    <m/>
    <m/>
    <m/>
    <m/>
    <m/>
    <m/>
    <m/>
    <m/>
    <m/>
  </r>
  <r>
    <n v="484"/>
    <x v="87"/>
    <d v="2024-05-15T00:00:00"/>
    <n v="36"/>
    <x v="4"/>
    <x v="3"/>
    <n v="130"/>
    <x v="1"/>
    <m/>
    <m/>
    <m/>
    <m/>
    <m/>
    <m/>
    <n v="18"/>
    <n v="19"/>
    <n v="14"/>
    <n v="15"/>
    <m/>
    <m/>
    <n v="19"/>
    <n v="24"/>
    <n v="15"/>
  </r>
  <r>
    <n v="485"/>
    <x v="48"/>
    <d v="2024-05-28T00:00:00"/>
    <n v="47"/>
    <x v="4"/>
    <x v="4"/>
    <n v="172"/>
    <x v="2"/>
    <m/>
    <m/>
    <m/>
    <m/>
    <m/>
    <m/>
    <n v="17"/>
    <n v="18"/>
    <n v="18"/>
    <n v="24"/>
    <m/>
    <m/>
    <n v="16"/>
    <n v="21"/>
    <n v="16"/>
  </r>
  <r>
    <n v="486"/>
    <x v="110"/>
    <d v="2024-05-20T00:00:00"/>
    <n v="128"/>
    <x v="4"/>
    <x v="4"/>
    <n v="230"/>
    <x v="4"/>
    <m/>
    <m/>
    <m/>
    <m/>
    <m/>
    <m/>
    <n v="16"/>
    <n v="24"/>
    <n v="17"/>
    <n v="24"/>
    <m/>
    <m/>
    <n v="19"/>
    <n v="21"/>
    <n v="24"/>
  </r>
  <r>
    <n v="487"/>
    <x v="3"/>
    <d v="2024-05-18T00:00:00"/>
    <n v="34"/>
    <x v="0"/>
    <x v="4"/>
    <n v="165"/>
    <x v="0"/>
    <n v="15"/>
    <n v="38"/>
    <n v="19"/>
    <n v="14"/>
    <n v="24"/>
    <m/>
    <m/>
    <m/>
    <m/>
    <m/>
    <m/>
    <m/>
    <m/>
    <m/>
    <m/>
  </r>
  <r>
    <n v="488"/>
    <x v="29"/>
    <d v="2024-04-30T00:00:00"/>
    <n v="72"/>
    <x v="3"/>
    <x v="2"/>
    <n v="159"/>
    <x v="4"/>
    <n v="16"/>
    <n v="47"/>
    <n v="23"/>
    <n v="19"/>
    <n v="23"/>
    <n v="24"/>
    <n v="22"/>
    <m/>
    <n v="19"/>
    <n v="20"/>
    <m/>
    <m/>
    <m/>
    <m/>
    <m/>
  </r>
  <r>
    <n v="489"/>
    <x v="37"/>
    <d v="2024-05-14T00:00:00"/>
    <n v="43"/>
    <x v="3"/>
    <x v="2"/>
    <n v="274"/>
    <x v="1"/>
    <n v="23"/>
    <n v="42"/>
    <n v="24"/>
    <n v="17"/>
    <n v="18"/>
    <n v="25"/>
    <n v="22"/>
    <m/>
    <n v="21"/>
    <n v="17"/>
    <m/>
    <m/>
    <m/>
    <m/>
    <m/>
  </r>
  <r>
    <n v="490"/>
    <x v="118"/>
    <d v="2024-05-07T00:00:00"/>
    <n v="113"/>
    <x v="2"/>
    <x v="4"/>
    <n v="412"/>
    <x v="0"/>
    <m/>
    <m/>
    <m/>
    <m/>
    <m/>
    <m/>
    <n v="22"/>
    <m/>
    <n v="24"/>
    <n v="14"/>
    <n v="21"/>
    <n v="22"/>
    <n v="21"/>
    <m/>
    <m/>
  </r>
  <r>
    <n v="491"/>
    <x v="45"/>
    <d v="2024-05-27T00:00:00"/>
    <n v="127"/>
    <x v="2"/>
    <x v="0"/>
    <n v="310"/>
    <x v="3"/>
    <m/>
    <m/>
    <m/>
    <m/>
    <m/>
    <m/>
    <n v="18"/>
    <m/>
    <n v="24"/>
    <n v="14"/>
    <n v="22"/>
    <n v="17"/>
    <n v="19"/>
    <m/>
    <m/>
  </r>
  <r>
    <n v="492"/>
    <x v="35"/>
    <d v="2024-05-19T00:00:00"/>
    <n v="83"/>
    <x v="0"/>
    <x v="2"/>
    <n v="192"/>
    <x v="0"/>
    <n v="23"/>
    <n v="43"/>
    <n v="23"/>
    <n v="23"/>
    <n v="19"/>
    <m/>
    <m/>
    <m/>
    <m/>
    <m/>
    <m/>
    <m/>
    <m/>
    <m/>
    <m/>
  </r>
  <r>
    <n v="493"/>
    <x v="66"/>
    <d v="2024-05-28T00:00:00"/>
    <n v="86"/>
    <x v="0"/>
    <x v="1"/>
    <n v="64"/>
    <x v="0"/>
    <n v="16"/>
    <n v="30"/>
    <n v="18"/>
    <n v="20"/>
    <n v="22"/>
    <m/>
    <m/>
    <m/>
    <m/>
    <m/>
    <m/>
    <m/>
    <m/>
    <m/>
    <m/>
  </r>
  <r>
    <n v="494"/>
    <x v="26"/>
    <d v="2024-05-19T00:00:00"/>
    <n v="79"/>
    <x v="4"/>
    <x v="4"/>
    <n v="424"/>
    <x v="3"/>
    <m/>
    <m/>
    <m/>
    <m/>
    <m/>
    <m/>
    <n v="20"/>
    <n v="16"/>
    <n v="19"/>
    <n v="22"/>
    <m/>
    <m/>
    <n v="16"/>
    <n v="14"/>
    <n v="19"/>
  </r>
  <r>
    <n v="495"/>
    <x v="79"/>
    <d v="2024-05-20T00:00:00"/>
    <n v="40"/>
    <x v="2"/>
    <x v="1"/>
    <n v="73"/>
    <x v="1"/>
    <m/>
    <m/>
    <m/>
    <m/>
    <m/>
    <m/>
    <n v="14"/>
    <m/>
    <n v="15"/>
    <n v="18"/>
    <n v="15"/>
    <n v="14"/>
    <n v="21"/>
    <m/>
    <m/>
  </r>
  <r>
    <n v="496"/>
    <x v="110"/>
    <d v="2024-04-29T00:00:00"/>
    <n v="107"/>
    <x v="0"/>
    <x v="2"/>
    <n v="315"/>
    <x v="1"/>
    <n v="16"/>
    <n v="29"/>
    <n v="19"/>
    <n v="18"/>
    <n v="15"/>
    <m/>
    <m/>
    <m/>
    <m/>
    <m/>
    <m/>
    <m/>
    <m/>
    <m/>
    <m/>
  </r>
  <r>
    <n v="497"/>
    <x v="7"/>
    <d v="2024-05-16T00:00:00"/>
    <n v="89"/>
    <x v="2"/>
    <x v="3"/>
    <n v="381"/>
    <x v="4"/>
    <m/>
    <m/>
    <m/>
    <m/>
    <m/>
    <m/>
    <n v="20"/>
    <m/>
    <n v="16"/>
    <n v="17"/>
    <n v="15"/>
    <n v="23"/>
    <n v="22"/>
    <m/>
    <m/>
  </r>
  <r>
    <n v="498"/>
    <x v="88"/>
    <d v="2024-05-14T00:00:00"/>
    <n v="111"/>
    <x v="2"/>
    <x v="2"/>
    <n v="332"/>
    <x v="2"/>
    <m/>
    <m/>
    <m/>
    <m/>
    <m/>
    <m/>
    <n v="23"/>
    <m/>
    <n v="15"/>
    <n v="24"/>
    <n v="14"/>
    <n v="18"/>
    <n v="20"/>
    <m/>
    <m/>
  </r>
  <r>
    <n v="499"/>
    <x v="85"/>
    <d v="2024-05-01T00:00:00"/>
    <n v="14"/>
    <x v="2"/>
    <x v="4"/>
    <n v="74"/>
    <x v="1"/>
    <m/>
    <m/>
    <m/>
    <m/>
    <m/>
    <m/>
    <n v="23"/>
    <m/>
    <n v="15"/>
    <n v="19"/>
    <n v="22"/>
    <n v="15"/>
    <n v="24"/>
    <m/>
    <m/>
  </r>
  <r>
    <n v="500"/>
    <x v="1"/>
    <d v="2024-05-23T00:00:00"/>
    <n v="126"/>
    <x v="3"/>
    <x v="0"/>
    <n v="203"/>
    <x v="0"/>
    <n v="20"/>
    <n v="27"/>
    <n v="15"/>
    <n v="19"/>
    <n v="15"/>
    <n v="28"/>
    <n v="15"/>
    <m/>
    <n v="23"/>
    <n v="18"/>
    <m/>
    <m/>
    <m/>
    <m/>
    <m/>
  </r>
  <r>
    <n v="501"/>
    <x v="70"/>
    <d v="2024-05-06T00:00:00"/>
    <n v="91"/>
    <x v="1"/>
    <x v="3"/>
    <n v="126"/>
    <x v="1"/>
    <n v="18"/>
    <n v="49"/>
    <n v="17"/>
    <n v="20"/>
    <m/>
    <n v="34"/>
    <n v="16"/>
    <n v="14"/>
    <m/>
    <m/>
    <m/>
    <m/>
    <m/>
    <m/>
    <m/>
  </r>
  <r>
    <n v="502"/>
    <x v="73"/>
    <d v="2024-05-16T00:00:00"/>
    <n v="70"/>
    <x v="4"/>
    <x v="0"/>
    <n v="198"/>
    <x v="3"/>
    <m/>
    <m/>
    <m/>
    <m/>
    <m/>
    <m/>
    <n v="20"/>
    <n v="21"/>
    <n v="24"/>
    <n v="17"/>
    <m/>
    <m/>
    <n v="15"/>
    <n v="22"/>
    <n v="18"/>
  </r>
  <r>
    <n v="503"/>
    <x v="54"/>
    <d v="2024-05-16T00:00:00"/>
    <n v="40"/>
    <x v="4"/>
    <x v="0"/>
    <n v="223"/>
    <x v="0"/>
    <m/>
    <m/>
    <m/>
    <m/>
    <m/>
    <m/>
    <n v="20"/>
    <n v="17"/>
    <n v="23"/>
    <n v="20"/>
    <m/>
    <m/>
    <n v="23"/>
    <n v="23"/>
    <n v="19"/>
  </r>
  <r>
    <n v="504"/>
    <x v="53"/>
    <d v="2024-05-22T00:00:00"/>
    <n v="68"/>
    <x v="3"/>
    <x v="4"/>
    <n v="399"/>
    <x v="3"/>
    <n v="23"/>
    <n v="27"/>
    <n v="16"/>
    <n v="21"/>
    <n v="20"/>
    <n v="47"/>
    <n v="20"/>
    <m/>
    <n v="15"/>
    <n v="16"/>
    <m/>
    <m/>
    <m/>
    <m/>
    <m/>
  </r>
  <r>
    <n v="505"/>
    <x v="50"/>
    <d v="2024-05-24T00:00:00"/>
    <n v="134"/>
    <x v="1"/>
    <x v="1"/>
    <n v="226"/>
    <x v="2"/>
    <n v="18"/>
    <n v="44"/>
    <n v="21"/>
    <n v="17"/>
    <m/>
    <n v="34"/>
    <n v="16"/>
    <n v="17"/>
    <m/>
    <m/>
    <m/>
    <m/>
    <m/>
    <m/>
    <m/>
  </r>
  <r>
    <n v="506"/>
    <x v="105"/>
    <d v="2024-05-21T00:00:00"/>
    <n v="74"/>
    <x v="2"/>
    <x v="0"/>
    <n v="462"/>
    <x v="4"/>
    <m/>
    <m/>
    <m/>
    <m/>
    <m/>
    <m/>
    <n v="21"/>
    <m/>
    <n v="23"/>
    <n v="20"/>
    <n v="17"/>
    <n v="19"/>
    <n v="15"/>
    <m/>
    <m/>
  </r>
  <r>
    <n v="507"/>
    <x v="85"/>
    <d v="2024-05-12T00:00:00"/>
    <n v="25"/>
    <x v="4"/>
    <x v="3"/>
    <n v="169"/>
    <x v="0"/>
    <m/>
    <m/>
    <m/>
    <m/>
    <m/>
    <m/>
    <n v="23"/>
    <n v="18"/>
    <n v="18"/>
    <n v="19"/>
    <m/>
    <m/>
    <n v="24"/>
    <n v="18"/>
    <n v="16"/>
  </r>
  <r>
    <n v="508"/>
    <x v="1"/>
    <d v="2024-05-17T00:00:00"/>
    <n v="120"/>
    <x v="4"/>
    <x v="0"/>
    <n v="333"/>
    <x v="1"/>
    <m/>
    <m/>
    <m/>
    <m/>
    <m/>
    <m/>
    <n v="20"/>
    <n v="16"/>
    <n v="23"/>
    <n v="15"/>
    <m/>
    <m/>
    <n v="23"/>
    <n v="21"/>
    <n v="23"/>
  </r>
  <r>
    <n v="509"/>
    <x v="58"/>
    <d v="2024-05-09T00:00:00"/>
    <n v="19"/>
    <x v="1"/>
    <x v="4"/>
    <n v="401"/>
    <x v="0"/>
    <n v="14"/>
    <n v="36"/>
    <n v="24"/>
    <n v="16"/>
    <m/>
    <n v="29"/>
    <n v="19"/>
    <n v="19"/>
    <m/>
    <m/>
    <m/>
    <m/>
    <m/>
    <m/>
    <m/>
  </r>
  <r>
    <n v="510"/>
    <x v="51"/>
    <d v="2024-05-09T00:00:00"/>
    <n v="110"/>
    <x v="4"/>
    <x v="1"/>
    <n v="278"/>
    <x v="4"/>
    <m/>
    <m/>
    <m/>
    <m/>
    <m/>
    <m/>
    <n v="19"/>
    <n v="18"/>
    <n v="15"/>
    <n v="20"/>
    <m/>
    <m/>
    <n v="19"/>
    <n v="19"/>
    <n v="24"/>
  </r>
  <r>
    <n v="511"/>
    <x v="115"/>
    <d v="2024-05-03T00:00:00"/>
    <n v="42"/>
    <x v="2"/>
    <x v="3"/>
    <n v="221"/>
    <x v="3"/>
    <m/>
    <m/>
    <m/>
    <m/>
    <m/>
    <m/>
    <n v="15"/>
    <m/>
    <n v="18"/>
    <n v="15"/>
    <n v="20"/>
    <n v="19"/>
    <n v="17"/>
    <m/>
    <m/>
  </r>
  <r>
    <n v="512"/>
    <x v="94"/>
    <d v="2024-05-03T00:00:00"/>
    <n v="48"/>
    <x v="1"/>
    <x v="0"/>
    <n v="355"/>
    <x v="4"/>
    <n v="23"/>
    <n v="48"/>
    <n v="18"/>
    <n v="22"/>
    <m/>
    <n v="28"/>
    <n v="15"/>
    <n v="17"/>
    <m/>
    <m/>
    <m/>
    <m/>
    <m/>
    <m/>
    <m/>
  </r>
  <r>
    <n v="513"/>
    <x v="72"/>
    <d v="2024-05-15T00:00:00"/>
    <n v="76"/>
    <x v="0"/>
    <x v="4"/>
    <n v="104"/>
    <x v="1"/>
    <n v="16"/>
    <n v="48"/>
    <n v="17"/>
    <n v="22"/>
    <n v="18"/>
    <m/>
    <m/>
    <m/>
    <m/>
    <m/>
    <m/>
    <m/>
    <m/>
    <m/>
    <m/>
  </r>
  <r>
    <n v="514"/>
    <x v="54"/>
    <d v="2024-05-25T00:00:00"/>
    <n v="49"/>
    <x v="2"/>
    <x v="4"/>
    <n v="436"/>
    <x v="4"/>
    <m/>
    <m/>
    <m/>
    <m/>
    <m/>
    <m/>
    <n v="24"/>
    <m/>
    <n v="15"/>
    <n v="24"/>
    <n v="17"/>
    <n v="19"/>
    <n v="24"/>
    <m/>
    <m/>
  </r>
  <r>
    <n v="515"/>
    <x v="1"/>
    <d v="2024-05-27T00:00:00"/>
    <n v="130"/>
    <x v="0"/>
    <x v="4"/>
    <n v="426"/>
    <x v="1"/>
    <n v="19"/>
    <n v="42"/>
    <n v="16"/>
    <n v="22"/>
    <n v="19"/>
    <m/>
    <m/>
    <m/>
    <m/>
    <m/>
    <m/>
    <m/>
    <m/>
    <m/>
    <m/>
  </r>
  <r>
    <n v="516"/>
    <x v="42"/>
    <d v="2024-05-21T00:00:00"/>
    <n v="109"/>
    <x v="3"/>
    <x v="4"/>
    <n v="144"/>
    <x v="2"/>
    <n v="20"/>
    <n v="33"/>
    <n v="24"/>
    <n v="23"/>
    <n v="21"/>
    <n v="46"/>
    <n v="18"/>
    <m/>
    <n v="20"/>
    <n v="20"/>
    <m/>
    <m/>
    <m/>
    <m/>
    <m/>
  </r>
  <r>
    <n v="517"/>
    <x v="92"/>
    <d v="2024-05-17T00:00:00"/>
    <n v="106"/>
    <x v="2"/>
    <x v="2"/>
    <n v="129"/>
    <x v="3"/>
    <m/>
    <m/>
    <m/>
    <m/>
    <m/>
    <m/>
    <n v="15"/>
    <m/>
    <n v="15"/>
    <n v="23"/>
    <n v="14"/>
    <n v="20"/>
    <n v="19"/>
    <m/>
    <m/>
  </r>
  <r>
    <n v="518"/>
    <x v="112"/>
    <d v="2024-05-20T00:00:00"/>
    <n v="112"/>
    <x v="4"/>
    <x v="0"/>
    <n v="248"/>
    <x v="3"/>
    <m/>
    <m/>
    <m/>
    <m/>
    <m/>
    <m/>
    <n v="20"/>
    <n v="22"/>
    <n v="15"/>
    <n v="22"/>
    <m/>
    <m/>
    <n v="14"/>
    <n v="15"/>
    <n v="19"/>
  </r>
  <r>
    <n v="519"/>
    <x v="85"/>
    <d v="2024-05-27T00:00:00"/>
    <n v="40"/>
    <x v="0"/>
    <x v="2"/>
    <n v="409"/>
    <x v="0"/>
    <n v="20"/>
    <n v="25"/>
    <n v="20"/>
    <n v="14"/>
    <n v="23"/>
    <m/>
    <m/>
    <m/>
    <m/>
    <m/>
    <m/>
    <m/>
    <m/>
    <m/>
    <m/>
  </r>
  <r>
    <n v="520"/>
    <x v="45"/>
    <d v="2024-05-01T00:00:00"/>
    <n v="101"/>
    <x v="1"/>
    <x v="0"/>
    <n v="477"/>
    <x v="4"/>
    <n v="19"/>
    <n v="35"/>
    <n v="14"/>
    <n v="21"/>
    <m/>
    <n v="34"/>
    <n v="19"/>
    <n v="22"/>
    <m/>
    <m/>
    <m/>
    <m/>
    <m/>
    <m/>
    <m/>
  </r>
  <r>
    <n v="521"/>
    <x v="82"/>
    <d v="2024-05-22T00:00:00"/>
    <n v="55"/>
    <x v="4"/>
    <x v="3"/>
    <n v="439"/>
    <x v="1"/>
    <m/>
    <m/>
    <m/>
    <m/>
    <m/>
    <m/>
    <n v="14"/>
    <n v="16"/>
    <n v="15"/>
    <n v="19"/>
    <m/>
    <m/>
    <n v="16"/>
    <n v="18"/>
    <n v="17"/>
  </r>
  <r>
    <n v="522"/>
    <x v="106"/>
    <d v="2024-05-03T00:00:00"/>
    <n v="37"/>
    <x v="3"/>
    <x v="1"/>
    <n v="209"/>
    <x v="4"/>
    <n v="17"/>
    <n v="27"/>
    <n v="15"/>
    <n v="22"/>
    <n v="22"/>
    <n v="42"/>
    <n v="19"/>
    <m/>
    <n v="19"/>
    <n v="19"/>
    <m/>
    <m/>
    <m/>
    <m/>
    <m/>
  </r>
  <r>
    <n v="523"/>
    <x v="100"/>
    <d v="2024-05-13T00:00:00"/>
    <n v="81"/>
    <x v="2"/>
    <x v="1"/>
    <n v="304"/>
    <x v="2"/>
    <m/>
    <m/>
    <m/>
    <m/>
    <m/>
    <m/>
    <n v="17"/>
    <m/>
    <n v="15"/>
    <n v="15"/>
    <n v="16"/>
    <n v="14"/>
    <n v="18"/>
    <m/>
    <m/>
  </r>
  <r>
    <n v="524"/>
    <x v="61"/>
    <d v="2024-04-30T00:00:00"/>
    <n v="75"/>
    <x v="0"/>
    <x v="3"/>
    <n v="207"/>
    <x v="0"/>
    <n v="21"/>
    <n v="40"/>
    <n v="18"/>
    <n v="20"/>
    <n v="22"/>
    <m/>
    <m/>
    <m/>
    <m/>
    <m/>
    <m/>
    <m/>
    <m/>
    <m/>
    <m/>
  </r>
  <r>
    <n v="525"/>
    <x v="30"/>
    <d v="2024-05-11T00:00:00"/>
    <n v="20"/>
    <x v="2"/>
    <x v="1"/>
    <n v="421"/>
    <x v="1"/>
    <m/>
    <m/>
    <m/>
    <m/>
    <m/>
    <m/>
    <n v="23"/>
    <m/>
    <n v="24"/>
    <n v="21"/>
    <n v="19"/>
    <n v="19"/>
    <n v="16"/>
    <m/>
    <m/>
  </r>
  <r>
    <n v="526"/>
    <x v="54"/>
    <d v="2024-05-26T00:00:00"/>
    <n v="50"/>
    <x v="1"/>
    <x v="4"/>
    <n v="391"/>
    <x v="3"/>
    <n v="19"/>
    <n v="45"/>
    <n v="17"/>
    <n v="24"/>
    <m/>
    <n v="24"/>
    <n v="23"/>
    <n v="14"/>
    <m/>
    <m/>
    <m/>
    <m/>
    <m/>
    <m/>
    <m/>
  </r>
  <r>
    <n v="527"/>
    <x v="20"/>
    <d v="2024-05-21T00:00:00"/>
    <n v="33"/>
    <x v="4"/>
    <x v="3"/>
    <n v="323"/>
    <x v="4"/>
    <m/>
    <m/>
    <m/>
    <m/>
    <m/>
    <m/>
    <n v="18"/>
    <n v="24"/>
    <n v="24"/>
    <n v="22"/>
    <m/>
    <m/>
    <n v="22"/>
    <n v="15"/>
    <n v="19"/>
  </r>
  <r>
    <n v="528"/>
    <x v="35"/>
    <d v="2024-05-24T00:00:00"/>
    <n v="88"/>
    <x v="1"/>
    <x v="1"/>
    <n v="63"/>
    <x v="0"/>
    <n v="18"/>
    <n v="36"/>
    <n v="20"/>
    <n v="21"/>
    <m/>
    <n v="26"/>
    <n v="24"/>
    <n v="18"/>
    <m/>
    <m/>
    <m/>
    <m/>
    <m/>
    <m/>
    <m/>
  </r>
  <r>
    <n v="529"/>
    <x v="61"/>
    <d v="2024-05-07T00:00:00"/>
    <n v="82"/>
    <x v="4"/>
    <x v="1"/>
    <n v="173"/>
    <x v="3"/>
    <m/>
    <m/>
    <m/>
    <m/>
    <m/>
    <m/>
    <n v="18"/>
    <n v="22"/>
    <n v="20"/>
    <n v="19"/>
    <m/>
    <m/>
    <n v="23"/>
    <n v="21"/>
    <n v="20"/>
  </r>
  <r>
    <n v="530"/>
    <x v="20"/>
    <d v="2024-05-26T00:00:00"/>
    <n v="38"/>
    <x v="1"/>
    <x v="0"/>
    <n v="148"/>
    <x v="2"/>
    <n v="24"/>
    <n v="34"/>
    <n v="24"/>
    <n v="22"/>
    <m/>
    <n v="40"/>
    <n v="14"/>
    <n v="20"/>
    <m/>
    <m/>
    <m/>
    <m/>
    <m/>
    <m/>
    <m/>
  </r>
  <r>
    <n v="531"/>
    <x v="26"/>
    <d v="2024-05-07T00:00:00"/>
    <n v="67"/>
    <x v="4"/>
    <x v="3"/>
    <n v="121"/>
    <x v="1"/>
    <m/>
    <m/>
    <m/>
    <m/>
    <m/>
    <m/>
    <n v="23"/>
    <n v="23"/>
    <n v="19"/>
    <n v="17"/>
    <m/>
    <m/>
    <n v="24"/>
    <n v="19"/>
    <n v="17"/>
  </r>
  <r>
    <n v="532"/>
    <x v="81"/>
    <d v="2024-05-15T00:00:00"/>
    <n v="46"/>
    <x v="1"/>
    <x v="2"/>
    <n v="165"/>
    <x v="2"/>
    <n v="19"/>
    <n v="36"/>
    <n v="14"/>
    <n v="20"/>
    <m/>
    <n v="39"/>
    <n v="14"/>
    <n v="16"/>
    <m/>
    <m/>
    <m/>
    <m/>
    <m/>
    <m/>
    <m/>
  </r>
  <r>
    <n v="533"/>
    <x v="10"/>
    <d v="2024-04-30T00:00:00"/>
    <n v="65"/>
    <x v="3"/>
    <x v="1"/>
    <n v="499"/>
    <x v="2"/>
    <n v="16"/>
    <n v="37"/>
    <n v="16"/>
    <n v="19"/>
    <n v="18"/>
    <n v="50"/>
    <n v="16"/>
    <m/>
    <n v="22"/>
    <n v="23"/>
    <m/>
    <m/>
    <m/>
    <m/>
    <m/>
  </r>
  <r>
    <n v="534"/>
    <x v="94"/>
    <d v="2024-05-14T00:00:00"/>
    <n v="59"/>
    <x v="2"/>
    <x v="2"/>
    <n v="440"/>
    <x v="1"/>
    <m/>
    <m/>
    <m/>
    <m/>
    <m/>
    <m/>
    <n v="19"/>
    <m/>
    <n v="16"/>
    <n v="16"/>
    <n v="16"/>
    <n v="18"/>
    <n v="20"/>
    <m/>
    <m/>
  </r>
  <r>
    <n v="535"/>
    <x v="112"/>
    <d v="2024-05-10T00:00:00"/>
    <n v="102"/>
    <x v="4"/>
    <x v="4"/>
    <n v="360"/>
    <x v="1"/>
    <m/>
    <m/>
    <m/>
    <m/>
    <m/>
    <m/>
    <n v="18"/>
    <n v="18"/>
    <n v="19"/>
    <n v="20"/>
    <m/>
    <m/>
    <n v="16"/>
    <n v="17"/>
    <n v="15"/>
  </r>
  <r>
    <n v="536"/>
    <x v="74"/>
    <d v="2024-05-10T00:00:00"/>
    <n v="96"/>
    <x v="0"/>
    <x v="0"/>
    <n v="68"/>
    <x v="1"/>
    <n v="23"/>
    <n v="47"/>
    <n v="22"/>
    <n v="16"/>
    <n v="23"/>
    <m/>
    <m/>
    <m/>
    <m/>
    <m/>
    <m/>
    <m/>
    <m/>
    <m/>
    <m/>
  </r>
  <r>
    <n v="537"/>
    <x v="118"/>
    <d v="2024-04-29T00:00:00"/>
    <n v="105"/>
    <x v="2"/>
    <x v="4"/>
    <n v="216"/>
    <x v="2"/>
    <m/>
    <m/>
    <m/>
    <m/>
    <m/>
    <m/>
    <n v="14"/>
    <m/>
    <n v="18"/>
    <n v="23"/>
    <n v="16"/>
    <n v="16"/>
    <n v="15"/>
    <m/>
    <m/>
  </r>
  <r>
    <n v="538"/>
    <x v="49"/>
    <d v="2024-05-11T00:00:00"/>
    <n v="98"/>
    <x v="1"/>
    <x v="2"/>
    <n v="119"/>
    <x v="1"/>
    <n v="14"/>
    <n v="30"/>
    <n v="21"/>
    <n v="16"/>
    <m/>
    <n v="35"/>
    <n v="20"/>
    <n v="17"/>
    <m/>
    <m/>
    <m/>
    <m/>
    <m/>
    <m/>
    <m/>
  </r>
  <r>
    <n v="539"/>
    <x v="33"/>
    <d v="2024-05-12T00:00:00"/>
    <n v="107"/>
    <x v="1"/>
    <x v="0"/>
    <n v="178"/>
    <x v="4"/>
    <n v="24"/>
    <n v="37"/>
    <n v="15"/>
    <n v="18"/>
    <m/>
    <n v="24"/>
    <n v="15"/>
    <n v="17"/>
    <m/>
    <m/>
    <m/>
    <m/>
    <m/>
    <m/>
    <m/>
  </r>
  <r>
    <n v="540"/>
    <x v="5"/>
    <d v="2024-05-12T00:00:00"/>
    <n v="47"/>
    <x v="1"/>
    <x v="4"/>
    <n v="406"/>
    <x v="2"/>
    <n v="23"/>
    <n v="34"/>
    <n v="17"/>
    <n v="24"/>
    <m/>
    <n v="25"/>
    <n v="22"/>
    <n v="21"/>
    <m/>
    <m/>
    <m/>
    <m/>
    <m/>
    <m/>
    <m/>
  </r>
  <r>
    <n v="541"/>
    <x v="24"/>
    <d v="2024-05-09T00:00:00"/>
    <n v="108"/>
    <x v="3"/>
    <x v="0"/>
    <n v="114"/>
    <x v="1"/>
    <n v="23"/>
    <n v="25"/>
    <n v="22"/>
    <n v="19"/>
    <n v="23"/>
    <n v="31"/>
    <n v="19"/>
    <m/>
    <n v="19"/>
    <n v="19"/>
    <m/>
    <m/>
    <m/>
    <m/>
    <m/>
  </r>
  <r>
    <n v="542"/>
    <x v="77"/>
    <d v="2024-05-14T00:00:00"/>
    <n v="110"/>
    <x v="3"/>
    <x v="3"/>
    <n v="190"/>
    <x v="1"/>
    <n v="21"/>
    <n v="27"/>
    <n v="16"/>
    <n v="15"/>
    <n v="22"/>
    <n v="21"/>
    <n v="16"/>
    <m/>
    <n v="24"/>
    <n v="18"/>
    <m/>
    <m/>
    <m/>
    <m/>
    <m/>
  </r>
  <r>
    <n v="543"/>
    <x v="91"/>
    <d v="2024-05-19T00:00:00"/>
    <n v="90"/>
    <x v="1"/>
    <x v="3"/>
    <n v="81"/>
    <x v="3"/>
    <n v="18"/>
    <n v="36"/>
    <n v="17"/>
    <n v="19"/>
    <m/>
    <n v="33"/>
    <n v="17"/>
    <n v="15"/>
    <m/>
    <m/>
    <m/>
    <m/>
    <m/>
    <m/>
    <m/>
  </r>
  <r>
    <n v="544"/>
    <x v="88"/>
    <d v="2024-05-06T00:00:00"/>
    <n v="103"/>
    <x v="1"/>
    <x v="0"/>
    <n v="173"/>
    <x v="0"/>
    <n v="20"/>
    <n v="27"/>
    <n v="23"/>
    <n v="17"/>
    <m/>
    <n v="33"/>
    <n v="20"/>
    <n v="22"/>
    <m/>
    <m/>
    <m/>
    <m/>
    <m/>
    <m/>
    <m/>
  </r>
  <r>
    <n v="545"/>
    <x v="68"/>
    <d v="2024-05-04T00:00:00"/>
    <n v="67"/>
    <x v="2"/>
    <x v="3"/>
    <n v="242"/>
    <x v="4"/>
    <m/>
    <m/>
    <m/>
    <m/>
    <m/>
    <m/>
    <n v="20"/>
    <m/>
    <n v="19"/>
    <n v="14"/>
    <n v="14"/>
    <n v="21"/>
    <n v="19"/>
    <m/>
    <m/>
  </r>
  <r>
    <n v="546"/>
    <x v="78"/>
    <d v="2024-05-06T00:00:00"/>
    <n v="11"/>
    <x v="3"/>
    <x v="1"/>
    <n v="320"/>
    <x v="4"/>
    <n v="14"/>
    <n v="42"/>
    <n v="23"/>
    <n v="18"/>
    <n v="22"/>
    <n v="46"/>
    <n v="23"/>
    <m/>
    <n v="20"/>
    <n v="19"/>
    <m/>
    <m/>
    <m/>
    <m/>
    <m/>
  </r>
  <r>
    <n v="547"/>
    <x v="114"/>
    <d v="2024-05-18T00:00:00"/>
    <n v="66"/>
    <x v="3"/>
    <x v="2"/>
    <n v="297"/>
    <x v="0"/>
    <n v="16"/>
    <n v="46"/>
    <n v="21"/>
    <n v="21"/>
    <n v="17"/>
    <n v="31"/>
    <n v="22"/>
    <m/>
    <n v="16"/>
    <n v="19"/>
    <m/>
    <m/>
    <m/>
    <m/>
    <m/>
  </r>
  <r>
    <n v="548"/>
    <x v="117"/>
    <d v="2024-05-03T00:00:00"/>
    <n v="85"/>
    <x v="1"/>
    <x v="3"/>
    <n v="224"/>
    <x v="0"/>
    <n v="19"/>
    <n v="26"/>
    <n v="17"/>
    <n v="21"/>
    <m/>
    <n v="47"/>
    <n v="21"/>
    <n v="18"/>
    <m/>
    <m/>
    <m/>
    <m/>
    <m/>
    <m/>
    <m/>
  </r>
  <r>
    <n v="549"/>
    <x v="72"/>
    <d v="2024-04-29T00:00:00"/>
    <n v="60"/>
    <x v="2"/>
    <x v="3"/>
    <n v="316"/>
    <x v="0"/>
    <m/>
    <m/>
    <m/>
    <m/>
    <m/>
    <m/>
    <n v="14"/>
    <m/>
    <n v="16"/>
    <n v="20"/>
    <n v="21"/>
    <n v="22"/>
    <n v="23"/>
    <m/>
    <m/>
  </r>
  <r>
    <n v="550"/>
    <x v="111"/>
    <d v="2024-04-30T00:00:00"/>
    <n v="81"/>
    <x v="4"/>
    <x v="3"/>
    <n v="232"/>
    <x v="2"/>
    <m/>
    <m/>
    <m/>
    <m/>
    <m/>
    <m/>
    <n v="22"/>
    <n v="24"/>
    <n v="17"/>
    <n v="16"/>
    <m/>
    <m/>
    <n v="14"/>
    <n v="16"/>
    <n v="20"/>
  </r>
  <r>
    <n v="551"/>
    <x v="38"/>
    <d v="2024-05-14T00:00:00"/>
    <n v="70"/>
    <x v="2"/>
    <x v="3"/>
    <n v="96"/>
    <x v="1"/>
    <m/>
    <m/>
    <m/>
    <m/>
    <m/>
    <m/>
    <n v="22"/>
    <m/>
    <n v="18"/>
    <n v="21"/>
    <n v="18"/>
    <n v="14"/>
    <n v="19"/>
    <m/>
    <m/>
  </r>
  <r>
    <n v="552"/>
    <x v="104"/>
    <d v="2024-04-30T00:00:00"/>
    <n v="30"/>
    <x v="3"/>
    <x v="1"/>
    <n v="143"/>
    <x v="3"/>
    <n v="15"/>
    <n v="44"/>
    <n v="21"/>
    <n v="18"/>
    <n v="17"/>
    <n v="27"/>
    <n v="15"/>
    <m/>
    <n v="16"/>
    <n v="15"/>
    <m/>
    <m/>
    <m/>
    <m/>
    <m/>
  </r>
  <r>
    <n v="553"/>
    <x v="85"/>
    <d v="2024-05-27T00:00:00"/>
    <n v="40"/>
    <x v="4"/>
    <x v="4"/>
    <n v="211"/>
    <x v="1"/>
    <m/>
    <m/>
    <m/>
    <m/>
    <m/>
    <m/>
    <n v="19"/>
    <n v="23"/>
    <n v="18"/>
    <n v="14"/>
    <m/>
    <m/>
    <n v="23"/>
    <n v="14"/>
    <n v="22"/>
  </r>
  <r>
    <n v="554"/>
    <x v="105"/>
    <d v="2024-05-03T00:00:00"/>
    <n v="56"/>
    <x v="3"/>
    <x v="2"/>
    <n v="244"/>
    <x v="0"/>
    <n v="14"/>
    <n v="38"/>
    <n v="17"/>
    <n v="17"/>
    <n v="20"/>
    <n v="30"/>
    <n v="16"/>
    <m/>
    <n v="15"/>
    <n v="22"/>
    <m/>
    <m/>
    <m/>
    <m/>
    <m/>
  </r>
  <r>
    <n v="555"/>
    <x v="31"/>
    <d v="2024-05-28T00:00:00"/>
    <n v="107"/>
    <x v="4"/>
    <x v="4"/>
    <n v="63"/>
    <x v="2"/>
    <m/>
    <m/>
    <m/>
    <m/>
    <m/>
    <m/>
    <n v="23"/>
    <n v="19"/>
    <n v="17"/>
    <n v="15"/>
    <m/>
    <m/>
    <n v="15"/>
    <n v="19"/>
    <n v="17"/>
  </r>
  <r>
    <n v="556"/>
    <x v="74"/>
    <d v="2024-05-08T00:00:00"/>
    <n v="94"/>
    <x v="0"/>
    <x v="0"/>
    <n v="334"/>
    <x v="3"/>
    <n v="18"/>
    <n v="23"/>
    <n v="22"/>
    <n v="16"/>
    <n v="14"/>
    <m/>
    <m/>
    <m/>
    <m/>
    <m/>
    <m/>
    <m/>
    <m/>
    <m/>
    <m/>
  </r>
  <r>
    <n v="557"/>
    <x v="105"/>
    <d v="2024-05-13T00:00:00"/>
    <n v="66"/>
    <x v="1"/>
    <x v="3"/>
    <n v="377"/>
    <x v="3"/>
    <n v="14"/>
    <n v="41"/>
    <n v="21"/>
    <n v="16"/>
    <m/>
    <n v="40"/>
    <n v="17"/>
    <n v="17"/>
    <m/>
    <m/>
    <m/>
    <m/>
    <m/>
    <m/>
    <m/>
  </r>
  <r>
    <n v="558"/>
    <x v="81"/>
    <d v="2024-05-15T00:00:00"/>
    <n v="46"/>
    <x v="1"/>
    <x v="2"/>
    <n v="479"/>
    <x v="3"/>
    <n v="15"/>
    <n v="41"/>
    <n v="16"/>
    <n v="23"/>
    <m/>
    <n v="42"/>
    <n v="19"/>
    <n v="22"/>
    <m/>
    <m/>
    <m/>
    <m/>
    <m/>
    <m/>
    <m/>
  </r>
  <r>
    <n v="559"/>
    <x v="12"/>
    <d v="2024-05-04T00:00:00"/>
    <n v="121"/>
    <x v="4"/>
    <x v="2"/>
    <n v="303"/>
    <x v="0"/>
    <m/>
    <m/>
    <m/>
    <m/>
    <m/>
    <m/>
    <n v="18"/>
    <n v="15"/>
    <n v="17"/>
    <n v="18"/>
    <m/>
    <m/>
    <n v="16"/>
    <n v="21"/>
    <n v="24"/>
  </r>
  <r>
    <n v="560"/>
    <x v="101"/>
    <d v="2024-05-21T00:00:00"/>
    <n v="115"/>
    <x v="4"/>
    <x v="0"/>
    <n v="200"/>
    <x v="2"/>
    <m/>
    <m/>
    <m/>
    <m/>
    <m/>
    <m/>
    <n v="21"/>
    <n v="24"/>
    <n v="18"/>
    <n v="20"/>
    <m/>
    <m/>
    <n v="22"/>
    <n v="20"/>
    <n v="14"/>
  </r>
  <r>
    <n v="561"/>
    <x v="67"/>
    <d v="2024-05-14T00:00:00"/>
    <n v="132"/>
    <x v="2"/>
    <x v="2"/>
    <n v="267"/>
    <x v="3"/>
    <m/>
    <m/>
    <m/>
    <m/>
    <m/>
    <m/>
    <n v="19"/>
    <m/>
    <n v="20"/>
    <n v="24"/>
    <n v="15"/>
    <n v="21"/>
    <n v="20"/>
    <m/>
    <m/>
  </r>
  <r>
    <n v="562"/>
    <x v="82"/>
    <d v="2024-05-13T00:00:00"/>
    <n v="46"/>
    <x v="0"/>
    <x v="1"/>
    <n v="188"/>
    <x v="0"/>
    <n v="19"/>
    <n v="48"/>
    <n v="24"/>
    <n v="21"/>
    <n v="18"/>
    <m/>
    <m/>
    <m/>
    <m/>
    <m/>
    <m/>
    <m/>
    <m/>
    <m/>
    <m/>
  </r>
  <r>
    <n v="563"/>
    <x v="60"/>
    <d v="2024-05-09T00:00:00"/>
    <n v="23"/>
    <x v="1"/>
    <x v="0"/>
    <n v="220"/>
    <x v="3"/>
    <n v="24"/>
    <n v="38"/>
    <n v="19"/>
    <n v="20"/>
    <m/>
    <n v="29"/>
    <n v="15"/>
    <n v="16"/>
    <m/>
    <m/>
    <m/>
    <m/>
    <m/>
    <m/>
    <m/>
  </r>
  <r>
    <n v="564"/>
    <x v="1"/>
    <d v="2024-05-15T00:00:00"/>
    <n v="118"/>
    <x v="1"/>
    <x v="1"/>
    <n v="58"/>
    <x v="1"/>
    <n v="19"/>
    <n v="36"/>
    <n v="23"/>
    <n v="24"/>
    <m/>
    <n v="49"/>
    <n v="18"/>
    <n v="20"/>
    <m/>
    <m/>
    <m/>
    <m/>
    <m/>
    <m/>
    <m/>
  </r>
  <r>
    <n v="565"/>
    <x v="7"/>
    <d v="2024-04-29T00:00:00"/>
    <n v="72"/>
    <x v="1"/>
    <x v="1"/>
    <n v="253"/>
    <x v="2"/>
    <n v="18"/>
    <n v="48"/>
    <n v="20"/>
    <n v="14"/>
    <m/>
    <n v="42"/>
    <n v="15"/>
    <n v="17"/>
    <m/>
    <m/>
    <m/>
    <m/>
    <m/>
    <m/>
    <m/>
  </r>
  <r>
    <n v="566"/>
    <x v="51"/>
    <d v="2024-05-01T00:00:00"/>
    <n v="102"/>
    <x v="0"/>
    <x v="3"/>
    <n v="273"/>
    <x v="1"/>
    <n v="15"/>
    <n v="20"/>
    <n v="16"/>
    <n v="20"/>
    <n v="20"/>
    <m/>
    <m/>
    <m/>
    <m/>
    <m/>
    <m/>
    <m/>
    <m/>
    <m/>
    <m/>
  </r>
  <r>
    <n v="567"/>
    <x v="11"/>
    <d v="2024-05-14T00:00:00"/>
    <n v="66"/>
    <x v="3"/>
    <x v="1"/>
    <n v="118"/>
    <x v="4"/>
    <n v="18"/>
    <n v="39"/>
    <n v="15"/>
    <n v="19"/>
    <n v="16"/>
    <n v="46"/>
    <n v="20"/>
    <m/>
    <n v="17"/>
    <n v="14"/>
    <m/>
    <m/>
    <m/>
    <m/>
    <m/>
  </r>
  <r>
    <n v="568"/>
    <x v="33"/>
    <d v="2024-05-28T00:00:00"/>
    <n v="123"/>
    <x v="0"/>
    <x v="0"/>
    <n v="151"/>
    <x v="1"/>
    <n v="19"/>
    <n v="26"/>
    <n v="15"/>
    <n v="24"/>
    <n v="14"/>
    <m/>
    <m/>
    <m/>
    <m/>
    <m/>
    <m/>
    <m/>
    <m/>
    <m/>
    <m/>
  </r>
  <r>
    <n v="569"/>
    <x v="49"/>
    <d v="2024-05-25T00:00:00"/>
    <n v="112"/>
    <x v="2"/>
    <x v="4"/>
    <n v="169"/>
    <x v="0"/>
    <m/>
    <m/>
    <m/>
    <m/>
    <m/>
    <m/>
    <n v="23"/>
    <m/>
    <n v="17"/>
    <n v="17"/>
    <n v="22"/>
    <n v="22"/>
    <n v="18"/>
    <m/>
    <m/>
  </r>
  <r>
    <n v="570"/>
    <x v="38"/>
    <d v="2024-04-30T00:00:00"/>
    <n v="56"/>
    <x v="4"/>
    <x v="2"/>
    <n v="333"/>
    <x v="2"/>
    <m/>
    <m/>
    <m/>
    <m/>
    <m/>
    <m/>
    <n v="15"/>
    <n v="24"/>
    <n v="15"/>
    <n v="14"/>
    <m/>
    <m/>
    <n v="22"/>
    <n v="15"/>
    <n v="24"/>
  </r>
  <r>
    <n v="571"/>
    <x v="11"/>
    <d v="2024-05-25T00:00:00"/>
    <n v="77"/>
    <x v="0"/>
    <x v="0"/>
    <n v="401"/>
    <x v="2"/>
    <n v="16"/>
    <n v="31"/>
    <n v="18"/>
    <n v="22"/>
    <n v="14"/>
    <m/>
    <m/>
    <m/>
    <m/>
    <m/>
    <m/>
    <m/>
    <m/>
    <m/>
    <m/>
  </r>
  <r>
    <n v="572"/>
    <x v="54"/>
    <d v="2024-05-18T00:00:00"/>
    <n v="42"/>
    <x v="3"/>
    <x v="4"/>
    <n v="390"/>
    <x v="0"/>
    <n v="24"/>
    <n v="39"/>
    <n v="19"/>
    <n v="16"/>
    <n v="16"/>
    <n v="41"/>
    <n v="19"/>
    <m/>
    <n v="23"/>
    <n v="17"/>
    <m/>
    <m/>
    <m/>
    <m/>
    <m/>
  </r>
  <r>
    <n v="573"/>
    <x v="100"/>
    <d v="2024-05-10T00:00:00"/>
    <n v="78"/>
    <x v="1"/>
    <x v="0"/>
    <n v="119"/>
    <x v="0"/>
    <n v="18"/>
    <n v="47"/>
    <n v="15"/>
    <n v="21"/>
    <m/>
    <n v="27"/>
    <n v="18"/>
    <n v="22"/>
    <m/>
    <m/>
    <m/>
    <m/>
    <m/>
    <m/>
    <m/>
  </r>
  <r>
    <n v="574"/>
    <x v="10"/>
    <d v="2024-05-27T00:00:00"/>
    <n v="92"/>
    <x v="4"/>
    <x v="3"/>
    <n v="413"/>
    <x v="3"/>
    <m/>
    <m/>
    <m/>
    <m/>
    <m/>
    <m/>
    <n v="16"/>
    <n v="24"/>
    <n v="24"/>
    <n v="21"/>
    <m/>
    <m/>
    <n v="21"/>
    <n v="22"/>
    <n v="24"/>
  </r>
  <r>
    <n v="575"/>
    <x v="72"/>
    <d v="2024-05-07T00:00:00"/>
    <n v="68"/>
    <x v="0"/>
    <x v="0"/>
    <n v="145"/>
    <x v="0"/>
    <n v="23"/>
    <n v="35"/>
    <n v="18"/>
    <n v="23"/>
    <n v="19"/>
    <m/>
    <m/>
    <m/>
    <m/>
    <m/>
    <m/>
    <m/>
    <m/>
    <m/>
    <m/>
  </r>
  <r>
    <n v="576"/>
    <x v="11"/>
    <d v="2024-05-28T00:00:00"/>
    <n v="80"/>
    <x v="3"/>
    <x v="2"/>
    <n v="165"/>
    <x v="0"/>
    <n v="14"/>
    <n v="27"/>
    <n v="18"/>
    <n v="18"/>
    <n v="18"/>
    <n v="20"/>
    <n v="24"/>
    <m/>
    <n v="18"/>
    <n v="19"/>
    <m/>
    <m/>
    <m/>
    <m/>
    <m/>
  </r>
  <r>
    <n v="577"/>
    <x v="57"/>
    <d v="2024-05-15T00:00:00"/>
    <n v="117"/>
    <x v="2"/>
    <x v="2"/>
    <n v="260"/>
    <x v="1"/>
    <m/>
    <m/>
    <m/>
    <m/>
    <m/>
    <m/>
    <n v="19"/>
    <m/>
    <n v="16"/>
    <n v="15"/>
    <n v="22"/>
    <n v="24"/>
    <n v="16"/>
    <m/>
    <m/>
  </r>
  <r>
    <n v="578"/>
    <x v="32"/>
    <d v="2024-05-21T00:00:00"/>
    <n v="62"/>
    <x v="1"/>
    <x v="0"/>
    <n v="247"/>
    <x v="3"/>
    <n v="21"/>
    <n v="29"/>
    <n v="24"/>
    <n v="23"/>
    <m/>
    <n v="33"/>
    <n v="24"/>
    <n v="21"/>
    <m/>
    <m/>
    <m/>
    <m/>
    <m/>
    <m/>
    <m/>
  </r>
  <r>
    <n v="579"/>
    <x v="17"/>
    <d v="2024-05-04T00:00:00"/>
    <n v="46"/>
    <x v="1"/>
    <x v="1"/>
    <n v="497"/>
    <x v="1"/>
    <n v="14"/>
    <n v="25"/>
    <n v="14"/>
    <n v="24"/>
    <m/>
    <n v="37"/>
    <n v="21"/>
    <n v="18"/>
    <m/>
    <m/>
    <m/>
    <m/>
    <m/>
    <m/>
    <m/>
  </r>
  <r>
    <n v="580"/>
    <x v="84"/>
    <d v="2024-05-23T00:00:00"/>
    <n v="67"/>
    <x v="0"/>
    <x v="3"/>
    <n v="54"/>
    <x v="3"/>
    <n v="24"/>
    <n v="50"/>
    <n v="14"/>
    <n v="23"/>
    <n v="15"/>
    <m/>
    <m/>
    <m/>
    <m/>
    <m/>
    <m/>
    <m/>
    <m/>
    <m/>
    <m/>
  </r>
  <r>
    <n v="581"/>
    <x v="9"/>
    <d v="2024-05-18T00:00:00"/>
    <n v="125"/>
    <x v="4"/>
    <x v="3"/>
    <n v="78"/>
    <x v="2"/>
    <m/>
    <m/>
    <m/>
    <m/>
    <m/>
    <m/>
    <n v="19"/>
    <n v="16"/>
    <n v="16"/>
    <n v="14"/>
    <m/>
    <m/>
    <n v="18"/>
    <n v="15"/>
    <n v="15"/>
  </r>
  <r>
    <n v="582"/>
    <x v="41"/>
    <d v="2024-05-08T00:00:00"/>
    <n v="77"/>
    <x v="2"/>
    <x v="0"/>
    <n v="167"/>
    <x v="0"/>
    <m/>
    <m/>
    <m/>
    <m/>
    <m/>
    <m/>
    <n v="18"/>
    <m/>
    <n v="22"/>
    <n v="23"/>
    <n v="19"/>
    <n v="24"/>
    <n v="16"/>
    <m/>
    <m/>
  </r>
  <r>
    <n v="583"/>
    <x v="88"/>
    <d v="2024-05-22T00:00:00"/>
    <n v="119"/>
    <x v="3"/>
    <x v="0"/>
    <n v="122"/>
    <x v="0"/>
    <n v="18"/>
    <n v="32"/>
    <n v="20"/>
    <n v="14"/>
    <n v="15"/>
    <n v="50"/>
    <n v="17"/>
    <m/>
    <n v="24"/>
    <n v="20"/>
    <m/>
    <m/>
    <m/>
    <m/>
    <m/>
  </r>
  <r>
    <n v="584"/>
    <x v="97"/>
    <d v="2024-05-02T00:00:00"/>
    <n v="86"/>
    <x v="3"/>
    <x v="4"/>
    <n v="351"/>
    <x v="1"/>
    <n v="15"/>
    <n v="24"/>
    <n v="20"/>
    <n v="14"/>
    <n v="16"/>
    <n v="47"/>
    <n v="23"/>
    <m/>
    <n v="19"/>
    <n v="14"/>
    <m/>
    <m/>
    <m/>
    <m/>
    <m/>
  </r>
  <r>
    <n v="585"/>
    <x v="49"/>
    <d v="2024-05-24T00:00:00"/>
    <n v="111"/>
    <x v="1"/>
    <x v="1"/>
    <n v="83"/>
    <x v="4"/>
    <n v="22"/>
    <n v="31"/>
    <n v="14"/>
    <n v="15"/>
    <m/>
    <n v="38"/>
    <n v="17"/>
    <n v="19"/>
    <m/>
    <m/>
    <m/>
    <m/>
    <m/>
    <m/>
    <m/>
  </r>
  <r>
    <n v="586"/>
    <x v="39"/>
    <d v="2024-05-07T00:00:00"/>
    <n v="9"/>
    <x v="4"/>
    <x v="1"/>
    <n v="118"/>
    <x v="1"/>
    <m/>
    <m/>
    <m/>
    <m/>
    <m/>
    <m/>
    <n v="22"/>
    <n v="24"/>
    <n v="20"/>
    <n v="15"/>
    <m/>
    <m/>
    <n v="17"/>
    <n v="24"/>
    <n v="16"/>
  </r>
  <r>
    <n v="587"/>
    <x v="1"/>
    <d v="2024-05-22T00:00:00"/>
    <n v="125"/>
    <x v="0"/>
    <x v="0"/>
    <n v="109"/>
    <x v="2"/>
    <n v="14"/>
    <n v="30"/>
    <n v="20"/>
    <n v="20"/>
    <n v="24"/>
    <m/>
    <m/>
    <m/>
    <m/>
    <m/>
    <m/>
    <m/>
    <m/>
    <m/>
    <m/>
  </r>
  <r>
    <n v="588"/>
    <x v="57"/>
    <d v="2024-05-17T00:00:00"/>
    <n v="119"/>
    <x v="1"/>
    <x v="2"/>
    <n v="365"/>
    <x v="2"/>
    <n v="20"/>
    <n v="36"/>
    <n v="20"/>
    <n v="17"/>
    <m/>
    <n v="25"/>
    <n v="16"/>
    <n v="16"/>
    <m/>
    <m/>
    <m/>
    <m/>
    <m/>
    <m/>
    <m/>
  </r>
  <r>
    <n v="589"/>
    <x v="23"/>
    <d v="2024-05-17T00:00:00"/>
    <n v="122"/>
    <x v="4"/>
    <x v="1"/>
    <n v="296"/>
    <x v="4"/>
    <m/>
    <m/>
    <m/>
    <m/>
    <m/>
    <m/>
    <n v="19"/>
    <n v="15"/>
    <n v="24"/>
    <n v="15"/>
    <m/>
    <m/>
    <n v="19"/>
    <n v="18"/>
    <n v="15"/>
  </r>
  <r>
    <n v="590"/>
    <x v="68"/>
    <d v="2024-05-12T00:00:00"/>
    <n v="75"/>
    <x v="1"/>
    <x v="1"/>
    <n v="55"/>
    <x v="2"/>
    <n v="21"/>
    <n v="47"/>
    <n v="24"/>
    <n v="20"/>
    <m/>
    <n v="44"/>
    <n v="24"/>
    <n v="14"/>
    <m/>
    <m/>
    <m/>
    <m/>
    <m/>
    <m/>
    <m/>
  </r>
  <r>
    <n v="591"/>
    <x v="45"/>
    <d v="2024-05-03T00:00:00"/>
    <n v="103"/>
    <x v="1"/>
    <x v="0"/>
    <n v="475"/>
    <x v="2"/>
    <n v="20"/>
    <n v="20"/>
    <n v="14"/>
    <n v="24"/>
    <m/>
    <n v="21"/>
    <n v="18"/>
    <n v="17"/>
    <m/>
    <m/>
    <m/>
    <m/>
    <m/>
    <m/>
    <m/>
  </r>
  <r>
    <n v="592"/>
    <x v="87"/>
    <d v="2024-05-15T00:00:00"/>
    <n v="36"/>
    <x v="4"/>
    <x v="3"/>
    <n v="277"/>
    <x v="4"/>
    <m/>
    <m/>
    <m/>
    <m/>
    <m/>
    <m/>
    <n v="24"/>
    <n v="17"/>
    <n v="15"/>
    <n v="15"/>
    <m/>
    <m/>
    <n v="15"/>
    <n v="21"/>
    <n v="21"/>
  </r>
  <r>
    <n v="593"/>
    <x v="63"/>
    <d v="2024-05-04T00:00:00"/>
    <n v="94"/>
    <x v="1"/>
    <x v="0"/>
    <n v="358"/>
    <x v="1"/>
    <n v="15"/>
    <n v="24"/>
    <n v="19"/>
    <n v="23"/>
    <m/>
    <n v="30"/>
    <n v="14"/>
    <n v="14"/>
    <m/>
    <m/>
    <m/>
    <m/>
    <m/>
    <m/>
    <m/>
  </r>
  <r>
    <n v="594"/>
    <x v="113"/>
    <d v="2024-05-06T00:00:00"/>
    <n v="110"/>
    <x v="0"/>
    <x v="0"/>
    <n v="164"/>
    <x v="3"/>
    <n v="20"/>
    <n v="50"/>
    <n v="16"/>
    <n v="22"/>
    <n v="16"/>
    <m/>
    <m/>
    <m/>
    <m/>
    <m/>
    <m/>
    <m/>
    <m/>
    <m/>
    <m/>
  </r>
  <r>
    <n v="595"/>
    <x v="34"/>
    <d v="2024-05-14T00:00:00"/>
    <n v="46"/>
    <x v="3"/>
    <x v="1"/>
    <n v="53"/>
    <x v="1"/>
    <n v="17"/>
    <n v="22"/>
    <n v="23"/>
    <n v="16"/>
    <n v="20"/>
    <n v="35"/>
    <n v="22"/>
    <m/>
    <n v="17"/>
    <n v="18"/>
    <m/>
    <m/>
    <m/>
    <m/>
    <m/>
  </r>
  <r>
    <n v="596"/>
    <x v="79"/>
    <d v="2024-05-01T00:00:00"/>
    <n v="21"/>
    <x v="1"/>
    <x v="1"/>
    <n v="217"/>
    <x v="4"/>
    <n v="16"/>
    <n v="30"/>
    <n v="19"/>
    <n v="17"/>
    <m/>
    <n v="31"/>
    <n v="19"/>
    <n v="20"/>
    <m/>
    <m/>
    <m/>
    <m/>
    <m/>
    <m/>
    <m/>
  </r>
  <r>
    <n v="597"/>
    <x v="47"/>
    <d v="2024-05-14T00:00:00"/>
    <n v="57"/>
    <x v="3"/>
    <x v="3"/>
    <n v="311"/>
    <x v="0"/>
    <n v="23"/>
    <n v="32"/>
    <n v="17"/>
    <n v="19"/>
    <n v="21"/>
    <n v="31"/>
    <n v="16"/>
    <m/>
    <n v="16"/>
    <n v="18"/>
    <m/>
    <m/>
    <m/>
    <m/>
    <m/>
  </r>
  <r>
    <n v="598"/>
    <x v="36"/>
    <d v="2024-04-30T00:00:00"/>
    <n v="113"/>
    <x v="3"/>
    <x v="1"/>
    <n v="221"/>
    <x v="1"/>
    <n v="14"/>
    <n v="32"/>
    <n v="23"/>
    <n v="14"/>
    <n v="17"/>
    <n v="46"/>
    <n v="18"/>
    <m/>
    <n v="22"/>
    <n v="19"/>
    <m/>
    <m/>
    <m/>
    <m/>
    <m/>
  </r>
  <r>
    <n v="599"/>
    <x v="87"/>
    <d v="2024-05-24T00:00:00"/>
    <n v="45"/>
    <x v="2"/>
    <x v="3"/>
    <n v="187"/>
    <x v="1"/>
    <m/>
    <m/>
    <m/>
    <m/>
    <m/>
    <m/>
    <n v="24"/>
    <m/>
    <n v="14"/>
    <n v="22"/>
    <n v="22"/>
    <n v="19"/>
    <n v="24"/>
    <m/>
    <m/>
  </r>
  <r>
    <n v="600"/>
    <x v="2"/>
    <d v="2024-05-10T00:00:00"/>
    <n v="108"/>
    <x v="4"/>
    <x v="0"/>
    <n v="100"/>
    <x v="0"/>
    <m/>
    <m/>
    <m/>
    <m/>
    <m/>
    <m/>
    <n v="14"/>
    <n v="21"/>
    <n v="21"/>
    <n v="15"/>
    <m/>
    <m/>
    <n v="19"/>
    <n v="18"/>
    <n v="16"/>
  </r>
  <r>
    <n v="601"/>
    <x v="91"/>
    <d v="2024-05-25T00:00:00"/>
    <n v="96"/>
    <x v="4"/>
    <x v="4"/>
    <n v="190"/>
    <x v="4"/>
    <m/>
    <m/>
    <m/>
    <m/>
    <m/>
    <m/>
    <n v="16"/>
    <n v="17"/>
    <n v="19"/>
    <n v="15"/>
    <m/>
    <m/>
    <n v="21"/>
    <n v="18"/>
    <n v="15"/>
  </r>
  <r>
    <n v="602"/>
    <x v="68"/>
    <d v="2024-05-08T00:00:00"/>
    <n v="71"/>
    <x v="2"/>
    <x v="0"/>
    <n v="220"/>
    <x v="0"/>
    <m/>
    <m/>
    <m/>
    <m/>
    <m/>
    <m/>
    <n v="22"/>
    <m/>
    <n v="18"/>
    <n v="19"/>
    <n v="23"/>
    <n v="17"/>
    <n v="21"/>
    <m/>
    <m/>
  </r>
  <r>
    <n v="603"/>
    <x v="9"/>
    <d v="2024-05-23T00:00:00"/>
    <n v="130"/>
    <x v="2"/>
    <x v="1"/>
    <n v="240"/>
    <x v="1"/>
    <m/>
    <m/>
    <m/>
    <m/>
    <m/>
    <m/>
    <n v="14"/>
    <m/>
    <n v="23"/>
    <n v="15"/>
    <n v="23"/>
    <n v="15"/>
    <n v="17"/>
    <m/>
    <m/>
  </r>
  <r>
    <n v="604"/>
    <x v="8"/>
    <d v="2024-05-07T00:00:00"/>
    <n v="44"/>
    <x v="4"/>
    <x v="2"/>
    <n v="411"/>
    <x v="3"/>
    <m/>
    <m/>
    <m/>
    <m/>
    <m/>
    <m/>
    <n v="21"/>
    <n v="20"/>
    <n v="21"/>
    <n v="18"/>
    <m/>
    <m/>
    <n v="16"/>
    <n v="20"/>
    <n v="15"/>
  </r>
  <r>
    <n v="605"/>
    <x v="77"/>
    <d v="2024-05-12T00:00:00"/>
    <n v="108"/>
    <x v="0"/>
    <x v="4"/>
    <n v="325"/>
    <x v="2"/>
    <n v="20"/>
    <n v="38"/>
    <n v="22"/>
    <n v="22"/>
    <n v="21"/>
    <m/>
    <m/>
    <m/>
    <m/>
    <m/>
    <m/>
    <m/>
    <m/>
    <m/>
    <m/>
  </r>
  <r>
    <n v="606"/>
    <x v="67"/>
    <d v="2024-05-14T00:00:00"/>
    <n v="132"/>
    <x v="1"/>
    <x v="4"/>
    <n v="61"/>
    <x v="4"/>
    <n v="20"/>
    <n v="26"/>
    <n v="16"/>
    <n v="24"/>
    <m/>
    <n v="39"/>
    <n v="18"/>
    <n v="22"/>
    <m/>
    <m/>
    <m/>
    <m/>
    <m/>
    <m/>
    <m/>
  </r>
  <r>
    <n v="607"/>
    <x v="54"/>
    <d v="2024-05-28T00:00:00"/>
    <n v="52"/>
    <x v="1"/>
    <x v="1"/>
    <n v="422"/>
    <x v="0"/>
    <n v="17"/>
    <n v="38"/>
    <n v="17"/>
    <n v="18"/>
    <m/>
    <n v="40"/>
    <n v="16"/>
    <n v="17"/>
    <m/>
    <m/>
    <m/>
    <m/>
    <m/>
    <m/>
    <m/>
  </r>
  <r>
    <n v="608"/>
    <x v="78"/>
    <d v="2024-05-14T00:00:00"/>
    <n v="19"/>
    <x v="4"/>
    <x v="3"/>
    <n v="163"/>
    <x v="4"/>
    <m/>
    <m/>
    <m/>
    <m/>
    <m/>
    <m/>
    <n v="24"/>
    <n v="18"/>
    <n v="21"/>
    <n v="22"/>
    <m/>
    <m/>
    <n v="14"/>
    <n v="23"/>
    <n v="14"/>
  </r>
  <r>
    <n v="609"/>
    <x v="53"/>
    <d v="2024-05-16T00:00:00"/>
    <n v="62"/>
    <x v="2"/>
    <x v="2"/>
    <n v="146"/>
    <x v="0"/>
    <m/>
    <m/>
    <m/>
    <m/>
    <m/>
    <m/>
    <n v="19"/>
    <m/>
    <n v="22"/>
    <n v="17"/>
    <n v="22"/>
    <n v="14"/>
    <n v="23"/>
    <m/>
    <m/>
  </r>
  <r>
    <n v="610"/>
    <x v="42"/>
    <d v="2024-05-01T00:00:00"/>
    <n v="89"/>
    <x v="1"/>
    <x v="3"/>
    <n v="423"/>
    <x v="2"/>
    <n v="16"/>
    <n v="31"/>
    <n v="16"/>
    <n v="14"/>
    <m/>
    <n v="26"/>
    <n v="19"/>
    <n v="23"/>
    <m/>
    <m/>
    <m/>
    <m/>
    <m/>
    <m/>
    <m/>
  </r>
  <r>
    <n v="611"/>
    <x v="112"/>
    <d v="2024-05-27T00:00:00"/>
    <n v="119"/>
    <x v="0"/>
    <x v="2"/>
    <n v="229"/>
    <x v="1"/>
    <n v="22"/>
    <n v="49"/>
    <n v="23"/>
    <n v="19"/>
    <n v="21"/>
    <m/>
    <m/>
    <m/>
    <m/>
    <m/>
    <m/>
    <m/>
    <m/>
    <m/>
    <m/>
  </r>
  <r>
    <n v="612"/>
    <x v="71"/>
    <d v="2024-05-03T00:00:00"/>
    <n v="83"/>
    <x v="1"/>
    <x v="2"/>
    <n v="219"/>
    <x v="2"/>
    <n v="20"/>
    <n v="45"/>
    <n v="23"/>
    <n v="24"/>
    <m/>
    <n v="34"/>
    <n v="22"/>
    <n v="17"/>
    <m/>
    <m/>
    <m/>
    <m/>
    <m/>
    <m/>
    <m/>
  </r>
  <r>
    <n v="613"/>
    <x v="59"/>
    <d v="2024-05-07T00:00:00"/>
    <n v="32"/>
    <x v="0"/>
    <x v="3"/>
    <n v="191"/>
    <x v="4"/>
    <n v="24"/>
    <n v="31"/>
    <n v="16"/>
    <n v="16"/>
    <n v="24"/>
    <m/>
    <m/>
    <m/>
    <m/>
    <m/>
    <m/>
    <m/>
    <m/>
    <m/>
    <m/>
  </r>
  <r>
    <n v="614"/>
    <x v="89"/>
    <d v="2024-05-22T00:00:00"/>
    <n v="77"/>
    <x v="3"/>
    <x v="4"/>
    <n v="307"/>
    <x v="4"/>
    <n v="22"/>
    <n v="31"/>
    <n v="20"/>
    <n v="15"/>
    <n v="24"/>
    <n v="26"/>
    <n v="15"/>
    <m/>
    <n v="16"/>
    <n v="22"/>
    <m/>
    <m/>
    <m/>
    <m/>
    <m/>
  </r>
  <r>
    <n v="615"/>
    <x v="118"/>
    <d v="2024-05-24T00:00:00"/>
    <n v="130"/>
    <x v="0"/>
    <x v="3"/>
    <n v="378"/>
    <x v="0"/>
    <n v="16"/>
    <n v="36"/>
    <n v="21"/>
    <n v="20"/>
    <n v="18"/>
    <m/>
    <m/>
    <m/>
    <m/>
    <m/>
    <m/>
    <m/>
    <m/>
    <m/>
    <m/>
  </r>
  <r>
    <n v="616"/>
    <x v="92"/>
    <d v="2024-05-24T00:00:00"/>
    <n v="113"/>
    <x v="3"/>
    <x v="2"/>
    <n v="159"/>
    <x v="2"/>
    <n v="22"/>
    <n v="42"/>
    <n v="22"/>
    <n v="20"/>
    <n v="16"/>
    <n v="49"/>
    <n v="24"/>
    <m/>
    <n v="15"/>
    <n v="16"/>
    <m/>
    <m/>
    <m/>
    <m/>
    <m/>
  </r>
  <r>
    <n v="617"/>
    <x v="102"/>
    <d v="2024-05-05T00:00:00"/>
    <n v="79"/>
    <x v="2"/>
    <x v="1"/>
    <n v="451"/>
    <x v="0"/>
    <m/>
    <m/>
    <m/>
    <m/>
    <m/>
    <m/>
    <n v="15"/>
    <m/>
    <n v="14"/>
    <n v="22"/>
    <n v="19"/>
    <n v="16"/>
    <n v="21"/>
    <m/>
    <m/>
  </r>
  <r>
    <n v="618"/>
    <x v="58"/>
    <d v="2024-05-28T00:00:00"/>
    <n v="38"/>
    <x v="1"/>
    <x v="4"/>
    <n v="422"/>
    <x v="0"/>
    <n v="15"/>
    <n v="50"/>
    <n v="18"/>
    <n v="18"/>
    <m/>
    <n v="50"/>
    <n v="15"/>
    <n v="15"/>
    <m/>
    <m/>
    <m/>
    <m/>
    <m/>
    <m/>
    <m/>
  </r>
  <r>
    <n v="619"/>
    <x v="4"/>
    <d v="2024-05-21T00:00:00"/>
    <n v="83"/>
    <x v="4"/>
    <x v="3"/>
    <n v="483"/>
    <x v="4"/>
    <m/>
    <m/>
    <m/>
    <m/>
    <m/>
    <m/>
    <n v="23"/>
    <n v="14"/>
    <n v="16"/>
    <n v="19"/>
    <m/>
    <m/>
    <n v="19"/>
    <n v="15"/>
    <n v="19"/>
  </r>
  <r>
    <n v="620"/>
    <x v="89"/>
    <d v="2024-05-20T00:00:00"/>
    <n v="75"/>
    <x v="3"/>
    <x v="3"/>
    <n v="342"/>
    <x v="2"/>
    <n v="23"/>
    <n v="43"/>
    <n v="22"/>
    <n v="22"/>
    <n v="16"/>
    <n v="50"/>
    <n v="23"/>
    <m/>
    <n v="16"/>
    <n v="17"/>
    <m/>
    <m/>
    <m/>
    <m/>
    <m/>
  </r>
  <r>
    <n v="621"/>
    <x v="17"/>
    <d v="2024-05-13T00:00:00"/>
    <n v="55"/>
    <x v="3"/>
    <x v="0"/>
    <n v="166"/>
    <x v="1"/>
    <n v="18"/>
    <n v="29"/>
    <n v="24"/>
    <n v="20"/>
    <n v="24"/>
    <n v="46"/>
    <n v="19"/>
    <m/>
    <n v="18"/>
    <n v="22"/>
    <m/>
    <m/>
    <m/>
    <m/>
    <m/>
  </r>
  <r>
    <n v="622"/>
    <x v="50"/>
    <d v="2024-05-12T00:00:00"/>
    <n v="122"/>
    <x v="1"/>
    <x v="3"/>
    <n v="131"/>
    <x v="2"/>
    <n v="17"/>
    <n v="47"/>
    <n v="24"/>
    <n v="23"/>
    <m/>
    <n v="48"/>
    <n v="17"/>
    <n v="22"/>
    <m/>
    <m/>
    <m/>
    <m/>
    <m/>
    <m/>
    <m/>
  </r>
  <r>
    <n v="623"/>
    <x v="30"/>
    <d v="2024-05-16T00:00:00"/>
    <n v="25"/>
    <x v="0"/>
    <x v="2"/>
    <n v="93"/>
    <x v="2"/>
    <n v="15"/>
    <n v="21"/>
    <n v="15"/>
    <n v="17"/>
    <n v="19"/>
    <m/>
    <m/>
    <m/>
    <m/>
    <m/>
    <m/>
    <m/>
    <m/>
    <m/>
    <m/>
  </r>
  <r>
    <n v="624"/>
    <x v="66"/>
    <d v="2024-05-01T00:00:00"/>
    <n v="59"/>
    <x v="0"/>
    <x v="4"/>
    <n v="412"/>
    <x v="3"/>
    <n v="16"/>
    <n v="35"/>
    <n v="19"/>
    <n v="14"/>
    <n v="14"/>
    <m/>
    <m/>
    <m/>
    <m/>
    <m/>
    <m/>
    <m/>
    <m/>
    <m/>
    <m/>
  </r>
  <r>
    <n v="625"/>
    <x v="100"/>
    <d v="2024-05-27T00:00:00"/>
    <n v="95"/>
    <x v="0"/>
    <x v="0"/>
    <n v="410"/>
    <x v="3"/>
    <n v="19"/>
    <n v="26"/>
    <n v="21"/>
    <n v="18"/>
    <n v="21"/>
    <m/>
    <m/>
    <m/>
    <m/>
    <m/>
    <m/>
    <m/>
    <m/>
    <m/>
    <m/>
  </r>
  <r>
    <n v="626"/>
    <x v="94"/>
    <d v="2024-05-15T00:00:00"/>
    <n v="60"/>
    <x v="4"/>
    <x v="1"/>
    <n v="71"/>
    <x v="0"/>
    <m/>
    <m/>
    <m/>
    <m/>
    <m/>
    <m/>
    <n v="21"/>
    <n v="22"/>
    <n v="18"/>
    <n v="17"/>
    <m/>
    <m/>
    <n v="22"/>
    <n v="14"/>
    <n v="23"/>
  </r>
  <r>
    <n v="627"/>
    <x v="58"/>
    <d v="2024-05-22T00:00:00"/>
    <n v="32"/>
    <x v="1"/>
    <x v="2"/>
    <n v="387"/>
    <x v="4"/>
    <n v="21"/>
    <n v="30"/>
    <n v="21"/>
    <n v="16"/>
    <m/>
    <n v="39"/>
    <n v="24"/>
    <n v="21"/>
    <m/>
    <m/>
    <m/>
    <m/>
    <m/>
    <m/>
    <m/>
  </r>
  <r>
    <n v="628"/>
    <x v="57"/>
    <d v="2024-05-12T00:00:00"/>
    <n v="114"/>
    <x v="4"/>
    <x v="4"/>
    <n v="349"/>
    <x v="2"/>
    <m/>
    <m/>
    <m/>
    <m/>
    <m/>
    <m/>
    <n v="18"/>
    <n v="17"/>
    <n v="14"/>
    <n v="19"/>
    <m/>
    <m/>
    <n v="21"/>
    <n v="17"/>
    <n v="20"/>
  </r>
  <r>
    <n v="629"/>
    <x v="90"/>
    <d v="2024-05-28T00:00:00"/>
    <n v="106"/>
    <x v="4"/>
    <x v="4"/>
    <n v="435"/>
    <x v="2"/>
    <m/>
    <m/>
    <m/>
    <m/>
    <m/>
    <m/>
    <n v="21"/>
    <n v="14"/>
    <n v="14"/>
    <n v="20"/>
    <m/>
    <m/>
    <n v="17"/>
    <n v="23"/>
    <n v="22"/>
  </r>
  <r>
    <n v="630"/>
    <x v="108"/>
    <d v="2024-05-16T00:00:00"/>
    <n v="42"/>
    <x v="4"/>
    <x v="1"/>
    <n v="139"/>
    <x v="3"/>
    <m/>
    <m/>
    <m/>
    <m/>
    <m/>
    <m/>
    <n v="19"/>
    <n v="23"/>
    <n v="24"/>
    <n v="14"/>
    <m/>
    <m/>
    <n v="24"/>
    <n v="19"/>
    <n v="21"/>
  </r>
  <r>
    <n v="631"/>
    <x v="109"/>
    <d v="2024-05-05T00:00:00"/>
    <n v="96"/>
    <x v="2"/>
    <x v="3"/>
    <n v="425"/>
    <x v="2"/>
    <m/>
    <m/>
    <m/>
    <m/>
    <m/>
    <m/>
    <n v="15"/>
    <m/>
    <n v="16"/>
    <n v="24"/>
    <n v="24"/>
    <n v="23"/>
    <n v="22"/>
    <m/>
    <m/>
  </r>
  <r>
    <n v="632"/>
    <x v="67"/>
    <d v="2024-05-21T00:00:00"/>
    <n v="139"/>
    <x v="1"/>
    <x v="1"/>
    <n v="105"/>
    <x v="3"/>
    <n v="21"/>
    <n v="30"/>
    <n v="24"/>
    <n v="14"/>
    <m/>
    <n v="36"/>
    <n v="16"/>
    <n v="19"/>
    <m/>
    <m/>
    <m/>
    <m/>
    <m/>
    <m/>
    <m/>
  </r>
  <r>
    <n v="633"/>
    <x v="26"/>
    <d v="2024-05-16T00:00:00"/>
    <n v="76"/>
    <x v="1"/>
    <x v="1"/>
    <n v="470"/>
    <x v="1"/>
    <n v="16"/>
    <n v="50"/>
    <n v="14"/>
    <n v="15"/>
    <m/>
    <n v="47"/>
    <n v="22"/>
    <n v="19"/>
    <m/>
    <m/>
    <m/>
    <m/>
    <m/>
    <m/>
    <m/>
  </r>
  <r>
    <n v="634"/>
    <x v="64"/>
    <d v="2024-05-12T00:00:00"/>
    <n v="18"/>
    <x v="0"/>
    <x v="2"/>
    <n v="201"/>
    <x v="2"/>
    <n v="21"/>
    <n v="27"/>
    <n v="22"/>
    <n v="23"/>
    <n v="21"/>
    <m/>
    <m/>
    <m/>
    <m/>
    <m/>
    <m/>
    <m/>
    <m/>
    <m/>
    <m/>
  </r>
  <r>
    <n v="635"/>
    <x v="111"/>
    <d v="2024-05-28T00:00:00"/>
    <n v="109"/>
    <x v="2"/>
    <x v="2"/>
    <n v="310"/>
    <x v="1"/>
    <m/>
    <m/>
    <m/>
    <m/>
    <m/>
    <m/>
    <n v="14"/>
    <m/>
    <n v="17"/>
    <n v="23"/>
    <n v="19"/>
    <n v="15"/>
    <n v="18"/>
    <m/>
    <m/>
  </r>
  <r>
    <n v="636"/>
    <x v="88"/>
    <d v="2024-05-21T00:00:00"/>
    <n v="118"/>
    <x v="0"/>
    <x v="3"/>
    <n v="366"/>
    <x v="2"/>
    <n v="24"/>
    <n v="38"/>
    <n v="21"/>
    <n v="22"/>
    <n v="16"/>
    <m/>
    <m/>
    <m/>
    <m/>
    <m/>
    <m/>
    <m/>
    <m/>
    <m/>
    <m/>
  </r>
  <r>
    <n v="637"/>
    <x v="97"/>
    <d v="2024-05-13T00:00:00"/>
    <n v="97"/>
    <x v="3"/>
    <x v="2"/>
    <n v="83"/>
    <x v="1"/>
    <n v="21"/>
    <n v="28"/>
    <n v="16"/>
    <n v="24"/>
    <n v="15"/>
    <n v="31"/>
    <n v="15"/>
    <m/>
    <n v="14"/>
    <n v="24"/>
    <m/>
    <m/>
    <m/>
    <m/>
    <m/>
  </r>
  <r>
    <n v="638"/>
    <x v="96"/>
    <d v="2024-05-10T00:00:00"/>
    <n v="61"/>
    <x v="0"/>
    <x v="3"/>
    <n v="406"/>
    <x v="4"/>
    <n v="15"/>
    <n v="26"/>
    <n v="23"/>
    <n v="16"/>
    <n v="22"/>
    <m/>
    <m/>
    <m/>
    <m/>
    <m/>
    <m/>
    <m/>
    <m/>
    <m/>
    <m/>
  </r>
  <r>
    <n v="639"/>
    <x v="53"/>
    <d v="2024-05-16T00:00:00"/>
    <n v="62"/>
    <x v="2"/>
    <x v="3"/>
    <n v="421"/>
    <x v="1"/>
    <m/>
    <m/>
    <m/>
    <m/>
    <m/>
    <m/>
    <n v="16"/>
    <m/>
    <n v="23"/>
    <n v="14"/>
    <n v="23"/>
    <n v="20"/>
    <n v="17"/>
    <m/>
    <m/>
  </r>
  <r>
    <n v="640"/>
    <x v="92"/>
    <d v="2024-05-21T00:00:00"/>
    <n v="110"/>
    <x v="4"/>
    <x v="3"/>
    <n v="127"/>
    <x v="2"/>
    <m/>
    <m/>
    <m/>
    <m/>
    <m/>
    <m/>
    <n v="22"/>
    <n v="24"/>
    <n v="22"/>
    <n v="24"/>
    <m/>
    <m/>
    <n v="16"/>
    <n v="18"/>
    <n v="17"/>
  </r>
  <r>
    <n v="641"/>
    <x v="42"/>
    <d v="2024-04-29T00:00:00"/>
    <n v="87"/>
    <x v="0"/>
    <x v="2"/>
    <n v="70"/>
    <x v="0"/>
    <n v="14"/>
    <n v="20"/>
    <n v="15"/>
    <n v="19"/>
    <n v="15"/>
    <m/>
    <m/>
    <m/>
    <m/>
    <m/>
    <m/>
    <m/>
    <m/>
    <m/>
    <m/>
  </r>
  <r>
    <n v="642"/>
    <x v="60"/>
    <d v="2024-05-23T00:00:00"/>
    <n v="37"/>
    <x v="3"/>
    <x v="0"/>
    <n v="476"/>
    <x v="0"/>
    <n v="15"/>
    <n v="38"/>
    <n v="15"/>
    <n v="23"/>
    <n v="23"/>
    <n v="23"/>
    <n v="24"/>
    <m/>
    <n v="24"/>
    <n v="19"/>
    <m/>
    <m/>
    <m/>
    <m/>
    <m/>
  </r>
  <r>
    <n v="643"/>
    <x v="37"/>
    <d v="2024-05-07T00:00:00"/>
    <n v="36"/>
    <x v="3"/>
    <x v="1"/>
    <n v="433"/>
    <x v="4"/>
    <n v="15"/>
    <n v="27"/>
    <n v="17"/>
    <n v="18"/>
    <n v="24"/>
    <n v="42"/>
    <n v="23"/>
    <m/>
    <n v="24"/>
    <n v="18"/>
    <m/>
    <m/>
    <m/>
    <m/>
    <m/>
  </r>
  <r>
    <n v="644"/>
    <x v="102"/>
    <d v="2024-05-05T00:00:00"/>
    <n v="79"/>
    <x v="4"/>
    <x v="3"/>
    <n v="432"/>
    <x v="1"/>
    <m/>
    <m/>
    <m/>
    <m/>
    <m/>
    <m/>
    <n v="24"/>
    <n v="17"/>
    <n v="16"/>
    <n v="20"/>
    <m/>
    <m/>
    <n v="20"/>
    <n v="22"/>
    <n v="19"/>
  </r>
  <r>
    <n v="645"/>
    <x v="71"/>
    <d v="2024-05-09T00:00:00"/>
    <n v="89"/>
    <x v="4"/>
    <x v="1"/>
    <n v="365"/>
    <x v="2"/>
    <m/>
    <m/>
    <m/>
    <m/>
    <m/>
    <m/>
    <n v="15"/>
    <n v="14"/>
    <n v="15"/>
    <n v="17"/>
    <m/>
    <m/>
    <n v="16"/>
    <n v="17"/>
    <n v="17"/>
  </r>
  <r>
    <n v="646"/>
    <x v="92"/>
    <d v="2024-05-06T00:00:00"/>
    <n v="95"/>
    <x v="3"/>
    <x v="0"/>
    <n v="427"/>
    <x v="3"/>
    <n v="24"/>
    <n v="47"/>
    <n v="18"/>
    <n v="20"/>
    <n v="19"/>
    <n v="34"/>
    <n v="16"/>
    <m/>
    <n v="20"/>
    <n v="24"/>
    <m/>
    <m/>
    <m/>
    <m/>
    <m/>
  </r>
  <r>
    <n v="647"/>
    <x v="107"/>
    <d v="2024-05-12T00:00:00"/>
    <n v="131"/>
    <x v="4"/>
    <x v="2"/>
    <n v="421"/>
    <x v="3"/>
    <m/>
    <m/>
    <m/>
    <m/>
    <m/>
    <m/>
    <n v="17"/>
    <n v="17"/>
    <n v="20"/>
    <n v="24"/>
    <m/>
    <m/>
    <n v="14"/>
    <n v="14"/>
    <n v="14"/>
  </r>
  <r>
    <n v="648"/>
    <x v="93"/>
    <d v="2024-05-12T00:00:00"/>
    <n v="59"/>
    <x v="2"/>
    <x v="0"/>
    <n v="127"/>
    <x v="3"/>
    <m/>
    <m/>
    <m/>
    <m/>
    <m/>
    <m/>
    <n v="23"/>
    <m/>
    <n v="21"/>
    <n v="14"/>
    <n v="23"/>
    <n v="19"/>
    <n v="14"/>
    <m/>
    <m/>
  </r>
  <r>
    <n v="649"/>
    <x v="57"/>
    <d v="2024-05-27T00:00:00"/>
    <n v="129"/>
    <x v="3"/>
    <x v="1"/>
    <n v="383"/>
    <x v="1"/>
    <n v="22"/>
    <n v="37"/>
    <n v="16"/>
    <n v="24"/>
    <n v="16"/>
    <n v="23"/>
    <n v="23"/>
    <m/>
    <n v="22"/>
    <n v="14"/>
    <m/>
    <m/>
    <m/>
    <m/>
    <m/>
  </r>
  <r>
    <n v="650"/>
    <x v="93"/>
    <d v="2024-05-28T00:00:00"/>
    <n v="75"/>
    <x v="4"/>
    <x v="4"/>
    <n v="141"/>
    <x v="0"/>
    <m/>
    <m/>
    <m/>
    <m/>
    <m/>
    <m/>
    <n v="21"/>
    <n v="17"/>
    <n v="23"/>
    <n v="18"/>
    <m/>
    <m/>
    <n v="21"/>
    <n v="18"/>
    <n v="19"/>
  </r>
  <r>
    <n v="651"/>
    <x v="102"/>
    <d v="2024-05-18T00:00:00"/>
    <n v="92"/>
    <x v="1"/>
    <x v="1"/>
    <n v="389"/>
    <x v="0"/>
    <n v="18"/>
    <n v="43"/>
    <n v="19"/>
    <n v="24"/>
    <m/>
    <n v="38"/>
    <n v="21"/>
    <n v="14"/>
    <m/>
    <m/>
    <m/>
    <m/>
    <m/>
    <m/>
    <m/>
  </r>
  <r>
    <n v="652"/>
    <x v="108"/>
    <d v="2024-05-28T00:00:00"/>
    <n v="54"/>
    <x v="0"/>
    <x v="3"/>
    <n v="498"/>
    <x v="4"/>
    <n v="20"/>
    <n v="36"/>
    <n v="24"/>
    <n v="24"/>
    <n v="19"/>
    <m/>
    <m/>
    <m/>
    <m/>
    <m/>
    <m/>
    <m/>
    <m/>
    <m/>
    <m/>
  </r>
  <r>
    <n v="653"/>
    <x v="44"/>
    <d v="2024-05-28T00:00:00"/>
    <n v="85"/>
    <x v="2"/>
    <x v="3"/>
    <n v="333"/>
    <x v="2"/>
    <m/>
    <m/>
    <m/>
    <m/>
    <m/>
    <m/>
    <n v="16"/>
    <m/>
    <n v="23"/>
    <n v="21"/>
    <n v="23"/>
    <n v="18"/>
    <n v="18"/>
    <m/>
    <m/>
  </r>
  <r>
    <n v="654"/>
    <x v="49"/>
    <d v="2024-05-25T00:00:00"/>
    <n v="112"/>
    <x v="3"/>
    <x v="4"/>
    <n v="300"/>
    <x v="0"/>
    <n v="23"/>
    <n v="44"/>
    <n v="15"/>
    <n v="14"/>
    <n v="22"/>
    <n v="46"/>
    <n v="20"/>
    <m/>
    <n v="23"/>
    <n v="16"/>
    <m/>
    <m/>
    <m/>
    <m/>
    <m/>
  </r>
  <r>
    <n v="655"/>
    <x v="77"/>
    <d v="2024-05-22T00:00:00"/>
    <n v="118"/>
    <x v="3"/>
    <x v="1"/>
    <n v="163"/>
    <x v="0"/>
    <n v="23"/>
    <n v="49"/>
    <n v="18"/>
    <n v="18"/>
    <n v="18"/>
    <n v="50"/>
    <n v="14"/>
    <m/>
    <n v="24"/>
    <n v="16"/>
    <m/>
    <m/>
    <m/>
    <m/>
    <m/>
  </r>
  <r>
    <n v="656"/>
    <x v="1"/>
    <d v="2024-05-05T00:00:00"/>
    <n v="108"/>
    <x v="2"/>
    <x v="3"/>
    <n v="321"/>
    <x v="0"/>
    <m/>
    <m/>
    <m/>
    <m/>
    <m/>
    <m/>
    <n v="14"/>
    <m/>
    <n v="18"/>
    <n v="19"/>
    <n v="23"/>
    <n v="19"/>
    <n v="23"/>
    <m/>
    <m/>
  </r>
  <r>
    <n v="657"/>
    <x v="50"/>
    <d v="2024-05-13T00:00:00"/>
    <n v="123"/>
    <x v="2"/>
    <x v="4"/>
    <n v="391"/>
    <x v="1"/>
    <m/>
    <m/>
    <m/>
    <m/>
    <m/>
    <m/>
    <n v="21"/>
    <m/>
    <n v="20"/>
    <n v="22"/>
    <n v="20"/>
    <n v="22"/>
    <n v="22"/>
    <m/>
    <m/>
  </r>
  <r>
    <n v="658"/>
    <x v="24"/>
    <d v="2024-05-10T00:00:00"/>
    <n v="109"/>
    <x v="0"/>
    <x v="0"/>
    <n v="224"/>
    <x v="1"/>
    <n v="19"/>
    <n v="27"/>
    <n v="17"/>
    <n v="17"/>
    <n v="18"/>
    <m/>
    <m/>
    <m/>
    <m/>
    <m/>
    <m/>
    <m/>
    <m/>
    <m/>
    <m/>
  </r>
  <r>
    <n v="659"/>
    <x v="82"/>
    <d v="2024-05-11T00:00:00"/>
    <n v="44"/>
    <x v="1"/>
    <x v="2"/>
    <n v="257"/>
    <x v="0"/>
    <n v="16"/>
    <n v="32"/>
    <n v="16"/>
    <n v="15"/>
    <m/>
    <n v="48"/>
    <n v="20"/>
    <n v="17"/>
    <m/>
    <m/>
    <m/>
    <m/>
    <m/>
    <m/>
    <m/>
  </r>
  <r>
    <n v="660"/>
    <x v="47"/>
    <d v="2024-05-17T00:00:00"/>
    <n v="60"/>
    <x v="1"/>
    <x v="0"/>
    <n v="243"/>
    <x v="4"/>
    <n v="15"/>
    <n v="28"/>
    <n v="14"/>
    <n v="21"/>
    <m/>
    <n v="33"/>
    <n v="16"/>
    <n v="21"/>
    <m/>
    <m/>
    <m/>
    <m/>
    <m/>
    <m/>
    <m/>
  </r>
  <r>
    <n v="661"/>
    <x v="36"/>
    <d v="2024-05-01T00:00:00"/>
    <n v="114"/>
    <x v="1"/>
    <x v="2"/>
    <n v="326"/>
    <x v="0"/>
    <n v="22"/>
    <n v="40"/>
    <n v="24"/>
    <n v="16"/>
    <m/>
    <n v="48"/>
    <n v="24"/>
    <n v="18"/>
    <m/>
    <m/>
    <m/>
    <m/>
    <m/>
    <m/>
    <m/>
  </r>
  <r>
    <n v="662"/>
    <x v="5"/>
    <d v="2024-05-14T00:00:00"/>
    <n v="49"/>
    <x v="2"/>
    <x v="0"/>
    <n v="91"/>
    <x v="4"/>
    <m/>
    <m/>
    <m/>
    <m/>
    <m/>
    <m/>
    <n v="16"/>
    <m/>
    <n v="16"/>
    <n v="21"/>
    <n v="18"/>
    <n v="16"/>
    <n v="14"/>
    <m/>
    <m/>
  </r>
  <r>
    <n v="663"/>
    <x v="65"/>
    <d v="2024-05-24T00:00:00"/>
    <n v="60"/>
    <x v="4"/>
    <x v="4"/>
    <n v="315"/>
    <x v="1"/>
    <m/>
    <m/>
    <m/>
    <m/>
    <m/>
    <m/>
    <n v="19"/>
    <n v="21"/>
    <n v="15"/>
    <n v="14"/>
    <m/>
    <m/>
    <n v="20"/>
    <n v="23"/>
    <n v="24"/>
  </r>
  <r>
    <n v="664"/>
    <x v="97"/>
    <d v="2024-05-19T00:00:00"/>
    <n v="103"/>
    <x v="1"/>
    <x v="4"/>
    <n v="450"/>
    <x v="1"/>
    <n v="20"/>
    <n v="49"/>
    <n v="23"/>
    <n v="20"/>
    <m/>
    <n v="41"/>
    <n v="22"/>
    <n v="16"/>
    <m/>
    <m/>
    <m/>
    <m/>
    <m/>
    <m/>
    <m/>
  </r>
  <r>
    <n v="665"/>
    <x v="0"/>
    <d v="2024-05-08T00:00:00"/>
    <n v="117"/>
    <x v="2"/>
    <x v="0"/>
    <n v="498"/>
    <x v="3"/>
    <m/>
    <m/>
    <m/>
    <m/>
    <m/>
    <m/>
    <n v="20"/>
    <m/>
    <n v="14"/>
    <n v="17"/>
    <n v="24"/>
    <n v="16"/>
    <n v="24"/>
    <m/>
    <m/>
  </r>
  <r>
    <n v="666"/>
    <x v="27"/>
    <d v="2024-05-08T00:00:00"/>
    <n v="120"/>
    <x v="3"/>
    <x v="4"/>
    <n v="325"/>
    <x v="2"/>
    <n v="23"/>
    <n v="23"/>
    <n v="14"/>
    <n v="14"/>
    <n v="20"/>
    <n v="43"/>
    <n v="22"/>
    <m/>
    <n v="14"/>
    <n v="15"/>
    <m/>
    <m/>
    <m/>
    <m/>
    <m/>
  </r>
  <r>
    <n v="667"/>
    <x v="56"/>
    <d v="2024-05-06T00:00:00"/>
    <n v="65"/>
    <x v="4"/>
    <x v="3"/>
    <n v="401"/>
    <x v="0"/>
    <m/>
    <m/>
    <m/>
    <m/>
    <m/>
    <m/>
    <n v="18"/>
    <n v="15"/>
    <n v="24"/>
    <n v="21"/>
    <m/>
    <m/>
    <n v="24"/>
    <n v="17"/>
    <n v="23"/>
  </r>
  <r>
    <n v="668"/>
    <x v="60"/>
    <d v="2024-05-09T00:00:00"/>
    <n v="23"/>
    <x v="4"/>
    <x v="1"/>
    <n v="333"/>
    <x v="2"/>
    <m/>
    <m/>
    <m/>
    <m/>
    <m/>
    <m/>
    <n v="17"/>
    <n v="14"/>
    <n v="22"/>
    <n v="22"/>
    <m/>
    <m/>
    <n v="21"/>
    <n v="21"/>
    <n v="22"/>
  </r>
  <r>
    <n v="669"/>
    <x v="30"/>
    <d v="2024-05-10T00:00:00"/>
    <n v="19"/>
    <x v="4"/>
    <x v="1"/>
    <n v="392"/>
    <x v="1"/>
    <m/>
    <m/>
    <m/>
    <m/>
    <m/>
    <m/>
    <n v="24"/>
    <n v="18"/>
    <n v="21"/>
    <n v="15"/>
    <m/>
    <m/>
    <n v="21"/>
    <n v="21"/>
    <n v="14"/>
  </r>
  <r>
    <n v="670"/>
    <x v="97"/>
    <d v="2024-05-12T00:00:00"/>
    <n v="96"/>
    <x v="4"/>
    <x v="3"/>
    <n v="251"/>
    <x v="2"/>
    <m/>
    <m/>
    <m/>
    <m/>
    <m/>
    <m/>
    <n v="16"/>
    <n v="15"/>
    <n v="18"/>
    <n v="23"/>
    <m/>
    <m/>
    <n v="14"/>
    <n v="17"/>
    <n v="21"/>
  </r>
  <r>
    <n v="671"/>
    <x v="91"/>
    <d v="2024-05-16T00:00:00"/>
    <n v="87"/>
    <x v="2"/>
    <x v="2"/>
    <n v="217"/>
    <x v="3"/>
    <m/>
    <m/>
    <m/>
    <m/>
    <m/>
    <m/>
    <n v="16"/>
    <m/>
    <n v="23"/>
    <n v="16"/>
    <n v="23"/>
    <n v="20"/>
    <n v="17"/>
    <m/>
    <m/>
  </r>
  <r>
    <n v="672"/>
    <x v="22"/>
    <d v="2024-05-23T00:00:00"/>
    <n v="73"/>
    <x v="1"/>
    <x v="2"/>
    <n v="105"/>
    <x v="0"/>
    <n v="15"/>
    <n v="24"/>
    <n v="22"/>
    <n v="22"/>
    <m/>
    <n v="20"/>
    <n v="23"/>
    <n v="23"/>
    <m/>
    <m/>
    <m/>
    <m/>
    <m/>
    <m/>
    <m/>
  </r>
  <r>
    <n v="673"/>
    <x v="66"/>
    <d v="2024-05-11T00:00:00"/>
    <n v="69"/>
    <x v="3"/>
    <x v="2"/>
    <n v="125"/>
    <x v="0"/>
    <n v="16"/>
    <n v="28"/>
    <n v="24"/>
    <n v="19"/>
    <n v="15"/>
    <n v="37"/>
    <n v="16"/>
    <m/>
    <n v="22"/>
    <n v="23"/>
    <m/>
    <m/>
    <m/>
    <m/>
    <m/>
  </r>
  <r>
    <n v="674"/>
    <x v="89"/>
    <d v="2024-05-28T00:00:00"/>
    <n v="83"/>
    <x v="0"/>
    <x v="1"/>
    <n v="500"/>
    <x v="4"/>
    <n v="23"/>
    <n v="28"/>
    <n v="22"/>
    <n v="18"/>
    <n v="22"/>
    <m/>
    <m/>
    <m/>
    <m/>
    <m/>
    <m/>
    <m/>
    <m/>
    <m/>
    <m/>
  </r>
  <r>
    <n v="675"/>
    <x v="105"/>
    <d v="2024-05-02T00:00:00"/>
    <n v="55"/>
    <x v="0"/>
    <x v="2"/>
    <n v="88"/>
    <x v="1"/>
    <n v="17"/>
    <n v="29"/>
    <n v="24"/>
    <n v="20"/>
    <n v="17"/>
    <m/>
    <m/>
    <m/>
    <m/>
    <m/>
    <m/>
    <m/>
    <m/>
    <m/>
    <m/>
  </r>
  <r>
    <n v="676"/>
    <x v="15"/>
    <d v="2024-05-18T00:00:00"/>
    <n v="111"/>
    <x v="4"/>
    <x v="4"/>
    <n v="333"/>
    <x v="0"/>
    <m/>
    <m/>
    <m/>
    <m/>
    <m/>
    <m/>
    <n v="19"/>
    <n v="18"/>
    <n v="24"/>
    <n v="20"/>
    <m/>
    <m/>
    <n v="19"/>
    <n v="15"/>
    <n v="14"/>
  </r>
  <r>
    <n v="677"/>
    <x v="76"/>
    <d v="2024-05-18T00:00:00"/>
    <n v="84"/>
    <x v="0"/>
    <x v="4"/>
    <n v="117"/>
    <x v="4"/>
    <n v="23"/>
    <n v="39"/>
    <n v="19"/>
    <n v="20"/>
    <n v="23"/>
    <m/>
    <m/>
    <m/>
    <m/>
    <m/>
    <m/>
    <m/>
    <m/>
    <m/>
    <m/>
  </r>
  <r>
    <n v="678"/>
    <x v="80"/>
    <d v="2024-05-20T00:00:00"/>
    <n v="35"/>
    <x v="4"/>
    <x v="0"/>
    <n v="417"/>
    <x v="2"/>
    <m/>
    <m/>
    <m/>
    <m/>
    <m/>
    <m/>
    <n v="21"/>
    <n v="15"/>
    <n v="17"/>
    <n v="24"/>
    <m/>
    <m/>
    <n v="20"/>
    <n v="17"/>
    <n v="18"/>
  </r>
  <r>
    <n v="679"/>
    <x v="112"/>
    <d v="2024-05-26T00:00:00"/>
    <n v="118"/>
    <x v="1"/>
    <x v="3"/>
    <n v="187"/>
    <x v="4"/>
    <n v="21"/>
    <n v="40"/>
    <n v="14"/>
    <n v="18"/>
    <m/>
    <n v="30"/>
    <n v="19"/>
    <n v="16"/>
    <m/>
    <m/>
    <m/>
    <m/>
    <m/>
    <m/>
    <m/>
  </r>
  <r>
    <n v="680"/>
    <x v="108"/>
    <d v="2024-05-17T00:00:00"/>
    <n v="43"/>
    <x v="2"/>
    <x v="0"/>
    <n v="500"/>
    <x v="2"/>
    <m/>
    <m/>
    <m/>
    <m/>
    <m/>
    <m/>
    <n v="16"/>
    <m/>
    <n v="14"/>
    <n v="15"/>
    <n v="16"/>
    <n v="24"/>
    <n v="19"/>
    <m/>
    <m/>
  </r>
  <r>
    <n v="681"/>
    <x v="64"/>
    <d v="2024-05-14T00:00:00"/>
    <n v="20"/>
    <x v="1"/>
    <x v="2"/>
    <n v="318"/>
    <x v="3"/>
    <n v="23"/>
    <n v="41"/>
    <n v="19"/>
    <n v="23"/>
    <m/>
    <n v="31"/>
    <n v="24"/>
    <n v="22"/>
    <m/>
    <m/>
    <m/>
    <m/>
    <m/>
    <m/>
    <m/>
  </r>
  <r>
    <n v="682"/>
    <x v="92"/>
    <d v="2024-05-15T00:00:00"/>
    <n v="104"/>
    <x v="2"/>
    <x v="1"/>
    <n v="150"/>
    <x v="4"/>
    <m/>
    <m/>
    <m/>
    <m/>
    <m/>
    <m/>
    <n v="22"/>
    <m/>
    <n v="19"/>
    <n v="15"/>
    <n v="21"/>
    <n v="19"/>
    <n v="17"/>
    <m/>
    <m/>
  </r>
  <r>
    <n v="683"/>
    <x v="36"/>
    <d v="2024-05-04T00:00:00"/>
    <n v="117"/>
    <x v="2"/>
    <x v="1"/>
    <n v="187"/>
    <x v="0"/>
    <m/>
    <m/>
    <m/>
    <m/>
    <m/>
    <m/>
    <n v="20"/>
    <m/>
    <n v="24"/>
    <n v="15"/>
    <n v="24"/>
    <n v="22"/>
    <n v="16"/>
    <m/>
    <m/>
  </r>
  <r>
    <n v="684"/>
    <x v="83"/>
    <d v="2024-05-17T00:00:00"/>
    <n v="35"/>
    <x v="4"/>
    <x v="3"/>
    <n v="419"/>
    <x v="1"/>
    <m/>
    <m/>
    <m/>
    <m/>
    <m/>
    <m/>
    <n v="14"/>
    <n v="20"/>
    <n v="16"/>
    <n v="15"/>
    <m/>
    <m/>
    <n v="24"/>
    <n v="20"/>
    <n v="18"/>
  </r>
  <r>
    <n v="685"/>
    <x v="40"/>
    <d v="2024-05-07T00:00:00"/>
    <n v="18"/>
    <x v="2"/>
    <x v="3"/>
    <n v="444"/>
    <x v="2"/>
    <m/>
    <m/>
    <m/>
    <m/>
    <m/>
    <m/>
    <n v="18"/>
    <m/>
    <n v="14"/>
    <n v="21"/>
    <n v="15"/>
    <n v="17"/>
    <n v="24"/>
    <m/>
    <m/>
  </r>
  <r>
    <n v="686"/>
    <x v="45"/>
    <d v="2024-05-12T00:00:00"/>
    <n v="112"/>
    <x v="0"/>
    <x v="4"/>
    <n v="423"/>
    <x v="0"/>
    <n v="21"/>
    <n v="34"/>
    <n v="15"/>
    <n v="20"/>
    <n v="19"/>
    <m/>
    <m/>
    <m/>
    <m/>
    <m/>
    <m/>
    <m/>
    <m/>
    <m/>
    <m/>
  </r>
  <r>
    <n v="687"/>
    <x v="47"/>
    <d v="2024-05-04T00:00:00"/>
    <n v="47"/>
    <x v="1"/>
    <x v="2"/>
    <n v="65"/>
    <x v="0"/>
    <n v="18"/>
    <n v="33"/>
    <n v="20"/>
    <n v="24"/>
    <m/>
    <n v="50"/>
    <n v="22"/>
    <n v="24"/>
    <m/>
    <m/>
    <m/>
    <m/>
    <m/>
    <m/>
    <m/>
  </r>
  <r>
    <n v="688"/>
    <x v="83"/>
    <d v="2024-04-29T00:00:00"/>
    <n v="17"/>
    <x v="0"/>
    <x v="3"/>
    <n v="189"/>
    <x v="4"/>
    <n v="17"/>
    <n v="46"/>
    <n v="22"/>
    <n v="23"/>
    <n v="16"/>
    <m/>
    <m/>
    <m/>
    <m/>
    <m/>
    <m/>
    <m/>
    <m/>
    <m/>
    <m/>
  </r>
  <r>
    <n v="689"/>
    <x v="31"/>
    <d v="2024-05-15T00:00:00"/>
    <n v="94"/>
    <x v="3"/>
    <x v="3"/>
    <n v="78"/>
    <x v="2"/>
    <n v="24"/>
    <n v="49"/>
    <n v="14"/>
    <n v="21"/>
    <n v="22"/>
    <n v="25"/>
    <n v="23"/>
    <m/>
    <n v="17"/>
    <n v="19"/>
    <m/>
    <m/>
    <m/>
    <m/>
    <m/>
  </r>
  <r>
    <n v="690"/>
    <x v="118"/>
    <d v="2024-05-23T00:00:00"/>
    <n v="129"/>
    <x v="4"/>
    <x v="4"/>
    <n v="411"/>
    <x v="0"/>
    <m/>
    <m/>
    <m/>
    <m/>
    <m/>
    <m/>
    <n v="14"/>
    <n v="15"/>
    <n v="17"/>
    <n v="16"/>
    <m/>
    <m/>
    <n v="22"/>
    <n v="24"/>
    <n v="19"/>
  </r>
  <r>
    <n v="691"/>
    <x v="22"/>
    <d v="2024-05-15T00:00:00"/>
    <n v="65"/>
    <x v="1"/>
    <x v="0"/>
    <n v="469"/>
    <x v="2"/>
    <n v="16"/>
    <n v="27"/>
    <n v="20"/>
    <n v="19"/>
    <m/>
    <n v="34"/>
    <n v="19"/>
    <n v="22"/>
    <m/>
    <m/>
    <m/>
    <m/>
    <m/>
    <m/>
    <m/>
  </r>
  <r>
    <n v="692"/>
    <x v="82"/>
    <d v="2024-05-16T00:00:00"/>
    <n v="49"/>
    <x v="0"/>
    <x v="2"/>
    <n v="467"/>
    <x v="4"/>
    <n v="24"/>
    <n v="34"/>
    <n v="24"/>
    <n v="16"/>
    <n v="15"/>
    <m/>
    <m/>
    <m/>
    <m/>
    <m/>
    <m/>
    <m/>
    <m/>
    <m/>
    <m/>
  </r>
  <r>
    <n v="693"/>
    <x v="29"/>
    <d v="2024-05-18T00:00:00"/>
    <n v="90"/>
    <x v="2"/>
    <x v="2"/>
    <n v="417"/>
    <x v="4"/>
    <m/>
    <m/>
    <m/>
    <m/>
    <m/>
    <m/>
    <n v="21"/>
    <m/>
    <n v="17"/>
    <n v="20"/>
    <n v="17"/>
    <n v="22"/>
    <n v="19"/>
    <m/>
    <m/>
  </r>
  <r>
    <n v="694"/>
    <x v="40"/>
    <d v="2024-05-27T00:00:00"/>
    <n v="38"/>
    <x v="1"/>
    <x v="3"/>
    <n v="489"/>
    <x v="1"/>
    <n v="23"/>
    <n v="29"/>
    <n v="18"/>
    <n v="14"/>
    <m/>
    <n v="35"/>
    <n v="20"/>
    <n v="16"/>
    <m/>
    <m/>
    <m/>
    <m/>
    <m/>
    <m/>
    <m/>
  </r>
  <r>
    <n v="695"/>
    <x v="73"/>
    <d v="2024-05-01T00:00:00"/>
    <n v="55"/>
    <x v="4"/>
    <x v="2"/>
    <n v="456"/>
    <x v="2"/>
    <m/>
    <m/>
    <m/>
    <m/>
    <m/>
    <m/>
    <n v="16"/>
    <n v="22"/>
    <n v="17"/>
    <n v="17"/>
    <m/>
    <m/>
    <n v="20"/>
    <n v="14"/>
    <n v="24"/>
  </r>
  <r>
    <n v="696"/>
    <x v="74"/>
    <d v="2024-05-19T00:00:00"/>
    <n v="105"/>
    <x v="1"/>
    <x v="2"/>
    <n v="72"/>
    <x v="4"/>
    <n v="20"/>
    <n v="44"/>
    <n v="22"/>
    <n v="19"/>
    <m/>
    <n v="28"/>
    <n v="19"/>
    <n v="22"/>
    <m/>
    <m/>
    <m/>
    <m/>
    <m/>
    <m/>
    <m/>
  </r>
  <r>
    <n v="697"/>
    <x v="91"/>
    <d v="2024-05-20T00:00:00"/>
    <n v="91"/>
    <x v="0"/>
    <x v="2"/>
    <n v="324"/>
    <x v="4"/>
    <n v="14"/>
    <n v="21"/>
    <n v="23"/>
    <n v="20"/>
    <n v="21"/>
    <m/>
    <m/>
    <m/>
    <m/>
    <m/>
    <m/>
    <m/>
    <m/>
    <m/>
    <m/>
  </r>
  <r>
    <n v="698"/>
    <x v="3"/>
    <d v="2024-05-19T00:00:00"/>
    <n v="35"/>
    <x v="3"/>
    <x v="0"/>
    <n v="432"/>
    <x v="3"/>
    <n v="23"/>
    <n v="50"/>
    <n v="22"/>
    <n v="18"/>
    <n v="23"/>
    <n v="34"/>
    <n v="17"/>
    <m/>
    <n v="21"/>
    <n v="18"/>
    <m/>
    <m/>
    <m/>
    <m/>
    <m/>
  </r>
  <r>
    <n v="699"/>
    <x v="37"/>
    <d v="2024-05-20T00:00:00"/>
    <n v="49"/>
    <x v="2"/>
    <x v="3"/>
    <n v="242"/>
    <x v="1"/>
    <m/>
    <m/>
    <m/>
    <m/>
    <m/>
    <m/>
    <n v="17"/>
    <m/>
    <n v="19"/>
    <n v="24"/>
    <n v="17"/>
    <n v="22"/>
    <n v="20"/>
    <m/>
    <m/>
  </r>
  <r>
    <n v="700"/>
    <x v="42"/>
    <d v="2024-04-29T00:00:00"/>
    <n v="87"/>
    <x v="0"/>
    <x v="0"/>
    <n v="312"/>
    <x v="0"/>
    <n v="21"/>
    <n v="41"/>
    <n v="16"/>
    <n v="16"/>
    <n v="14"/>
    <m/>
    <m/>
    <m/>
    <m/>
    <m/>
    <m/>
    <m/>
    <m/>
    <m/>
    <m/>
  </r>
  <r>
    <n v="701"/>
    <x v="79"/>
    <d v="2024-05-12T00:00:00"/>
    <n v="32"/>
    <x v="3"/>
    <x v="1"/>
    <n v="338"/>
    <x v="3"/>
    <n v="22"/>
    <n v="45"/>
    <n v="20"/>
    <n v="18"/>
    <n v="18"/>
    <n v="43"/>
    <n v="19"/>
    <m/>
    <n v="20"/>
    <n v="23"/>
    <m/>
    <m/>
    <m/>
    <m/>
    <m/>
  </r>
  <r>
    <n v="702"/>
    <x v="25"/>
    <d v="2024-05-20T00:00:00"/>
    <n v="27"/>
    <x v="3"/>
    <x v="1"/>
    <n v="420"/>
    <x v="1"/>
    <n v="20"/>
    <n v="44"/>
    <n v="16"/>
    <n v="19"/>
    <n v="22"/>
    <n v="40"/>
    <n v="22"/>
    <m/>
    <n v="24"/>
    <n v="23"/>
    <m/>
    <m/>
    <m/>
    <m/>
    <m/>
  </r>
  <r>
    <n v="703"/>
    <x v="88"/>
    <d v="2024-05-03T00:00:00"/>
    <n v="100"/>
    <x v="2"/>
    <x v="1"/>
    <n v="135"/>
    <x v="2"/>
    <m/>
    <m/>
    <m/>
    <m/>
    <m/>
    <m/>
    <n v="18"/>
    <m/>
    <n v="20"/>
    <n v="16"/>
    <n v="22"/>
    <n v="23"/>
    <n v="16"/>
    <m/>
    <m/>
  </r>
  <r>
    <n v="704"/>
    <x v="23"/>
    <d v="2024-05-01T00:00:00"/>
    <n v="106"/>
    <x v="1"/>
    <x v="3"/>
    <n v="373"/>
    <x v="3"/>
    <n v="23"/>
    <n v="50"/>
    <n v="18"/>
    <n v="14"/>
    <m/>
    <n v="20"/>
    <n v="17"/>
    <n v="23"/>
    <m/>
    <m/>
    <m/>
    <m/>
    <m/>
    <m/>
    <m/>
  </r>
  <r>
    <n v="705"/>
    <x v="48"/>
    <d v="2024-05-22T00:00:00"/>
    <n v="41"/>
    <x v="4"/>
    <x v="0"/>
    <n v="348"/>
    <x v="4"/>
    <m/>
    <m/>
    <m/>
    <m/>
    <m/>
    <m/>
    <n v="22"/>
    <n v="24"/>
    <n v="22"/>
    <n v="19"/>
    <m/>
    <m/>
    <n v="15"/>
    <n v="24"/>
    <n v="23"/>
  </r>
  <r>
    <n v="706"/>
    <x v="53"/>
    <d v="2024-05-14T00:00:00"/>
    <n v="60"/>
    <x v="4"/>
    <x v="2"/>
    <n v="188"/>
    <x v="2"/>
    <m/>
    <m/>
    <m/>
    <m/>
    <m/>
    <m/>
    <n v="23"/>
    <n v="22"/>
    <n v="14"/>
    <n v="19"/>
    <m/>
    <m/>
    <n v="23"/>
    <n v="20"/>
    <n v="19"/>
  </r>
  <r>
    <n v="707"/>
    <x v="80"/>
    <d v="2024-05-09T00:00:00"/>
    <n v="24"/>
    <x v="4"/>
    <x v="4"/>
    <n v="269"/>
    <x v="2"/>
    <m/>
    <m/>
    <m/>
    <m/>
    <m/>
    <m/>
    <n v="14"/>
    <n v="17"/>
    <n v="18"/>
    <n v="24"/>
    <m/>
    <m/>
    <n v="16"/>
    <n v="16"/>
    <n v="20"/>
  </r>
  <r>
    <n v="708"/>
    <x v="57"/>
    <d v="2024-05-06T00:00:00"/>
    <n v="108"/>
    <x v="1"/>
    <x v="1"/>
    <n v="376"/>
    <x v="2"/>
    <n v="15"/>
    <n v="50"/>
    <n v="18"/>
    <n v="19"/>
    <m/>
    <n v="29"/>
    <n v="18"/>
    <n v="17"/>
    <m/>
    <m/>
    <m/>
    <m/>
    <m/>
    <m/>
    <m/>
  </r>
  <r>
    <n v="709"/>
    <x v="40"/>
    <d v="2024-05-11T00:00:00"/>
    <n v="22"/>
    <x v="2"/>
    <x v="3"/>
    <n v="148"/>
    <x v="2"/>
    <m/>
    <m/>
    <m/>
    <m/>
    <m/>
    <m/>
    <n v="21"/>
    <m/>
    <n v="23"/>
    <n v="20"/>
    <n v="24"/>
    <n v="23"/>
    <n v="18"/>
    <m/>
    <m/>
  </r>
  <r>
    <n v="710"/>
    <x v="38"/>
    <d v="2024-05-19T00:00:00"/>
    <n v="75"/>
    <x v="4"/>
    <x v="4"/>
    <n v="112"/>
    <x v="0"/>
    <m/>
    <m/>
    <m/>
    <m/>
    <m/>
    <m/>
    <n v="22"/>
    <n v="19"/>
    <n v="22"/>
    <n v="23"/>
    <m/>
    <m/>
    <n v="20"/>
    <n v="17"/>
    <n v="23"/>
  </r>
  <r>
    <n v="711"/>
    <x v="59"/>
    <d v="2024-05-16T00:00:00"/>
    <n v="41"/>
    <x v="3"/>
    <x v="1"/>
    <n v="323"/>
    <x v="2"/>
    <n v="20"/>
    <n v="34"/>
    <n v="15"/>
    <n v="15"/>
    <n v="16"/>
    <n v="44"/>
    <n v="20"/>
    <m/>
    <n v="14"/>
    <n v="20"/>
    <m/>
    <m/>
    <m/>
    <m/>
    <m/>
  </r>
  <r>
    <n v="712"/>
    <x v="112"/>
    <d v="2024-05-08T00:00:00"/>
    <n v="100"/>
    <x v="4"/>
    <x v="4"/>
    <n v="118"/>
    <x v="4"/>
    <m/>
    <m/>
    <m/>
    <m/>
    <m/>
    <m/>
    <n v="22"/>
    <n v="18"/>
    <n v="24"/>
    <n v="16"/>
    <m/>
    <m/>
    <n v="21"/>
    <n v="21"/>
    <n v="22"/>
  </r>
  <r>
    <n v="713"/>
    <x v="81"/>
    <d v="2024-05-06T00:00:00"/>
    <n v="37"/>
    <x v="1"/>
    <x v="1"/>
    <n v="392"/>
    <x v="0"/>
    <n v="21"/>
    <n v="39"/>
    <n v="24"/>
    <n v="20"/>
    <m/>
    <n v="44"/>
    <n v="14"/>
    <n v="24"/>
    <m/>
    <m/>
    <m/>
    <m/>
    <m/>
    <m/>
    <m/>
  </r>
  <r>
    <n v="714"/>
    <x v="105"/>
    <d v="2024-05-22T00:00:00"/>
    <n v="75"/>
    <x v="0"/>
    <x v="2"/>
    <n v="106"/>
    <x v="1"/>
    <n v="18"/>
    <n v="46"/>
    <n v="20"/>
    <n v="23"/>
    <n v="17"/>
    <m/>
    <m/>
    <m/>
    <m/>
    <m/>
    <m/>
    <m/>
    <m/>
    <m/>
    <m/>
  </r>
  <r>
    <n v="715"/>
    <x v="74"/>
    <d v="2024-05-21T00:00:00"/>
    <n v="107"/>
    <x v="2"/>
    <x v="3"/>
    <n v="223"/>
    <x v="3"/>
    <m/>
    <m/>
    <m/>
    <m/>
    <m/>
    <m/>
    <n v="14"/>
    <m/>
    <n v="19"/>
    <n v="22"/>
    <n v="15"/>
    <n v="24"/>
    <n v="15"/>
    <m/>
    <m/>
  </r>
  <r>
    <n v="716"/>
    <x v="118"/>
    <d v="2024-05-26T00:00:00"/>
    <n v="132"/>
    <x v="0"/>
    <x v="3"/>
    <n v="152"/>
    <x v="1"/>
    <n v="21"/>
    <n v="36"/>
    <n v="24"/>
    <n v="16"/>
    <n v="17"/>
    <m/>
    <m/>
    <m/>
    <m/>
    <m/>
    <m/>
    <m/>
    <m/>
    <m/>
    <m/>
  </r>
  <r>
    <n v="717"/>
    <x v="113"/>
    <d v="2024-05-16T00:00:00"/>
    <n v="120"/>
    <x v="4"/>
    <x v="2"/>
    <n v="159"/>
    <x v="2"/>
    <m/>
    <m/>
    <m/>
    <m/>
    <m/>
    <m/>
    <n v="20"/>
    <n v="23"/>
    <n v="22"/>
    <n v="22"/>
    <m/>
    <m/>
    <n v="19"/>
    <n v="23"/>
    <n v="23"/>
  </r>
  <r>
    <n v="718"/>
    <x v="83"/>
    <d v="2024-05-26T00:00:00"/>
    <n v="44"/>
    <x v="1"/>
    <x v="3"/>
    <n v="492"/>
    <x v="0"/>
    <n v="18"/>
    <n v="49"/>
    <n v="17"/>
    <n v="21"/>
    <m/>
    <n v="37"/>
    <n v="20"/>
    <n v="23"/>
    <m/>
    <m/>
    <m/>
    <m/>
    <m/>
    <m/>
    <m/>
  </r>
  <r>
    <n v="719"/>
    <x v="3"/>
    <d v="2024-05-04T00:00:00"/>
    <n v="20"/>
    <x v="0"/>
    <x v="3"/>
    <n v="145"/>
    <x v="4"/>
    <n v="23"/>
    <n v="44"/>
    <n v="20"/>
    <n v="20"/>
    <n v="20"/>
    <m/>
    <m/>
    <m/>
    <m/>
    <m/>
    <m/>
    <m/>
    <m/>
    <m/>
    <m/>
  </r>
  <r>
    <n v="720"/>
    <x v="6"/>
    <d v="2024-05-14T00:00:00"/>
    <n v="130"/>
    <x v="1"/>
    <x v="0"/>
    <n v="448"/>
    <x v="4"/>
    <n v="19"/>
    <n v="49"/>
    <n v="15"/>
    <n v="15"/>
    <m/>
    <n v="24"/>
    <n v="16"/>
    <n v="22"/>
    <m/>
    <m/>
    <m/>
    <m/>
    <m/>
    <m/>
    <m/>
  </r>
  <r>
    <n v="721"/>
    <x v="83"/>
    <d v="2024-05-28T00:00:00"/>
    <n v="46"/>
    <x v="0"/>
    <x v="2"/>
    <n v="154"/>
    <x v="1"/>
    <n v="20"/>
    <n v="21"/>
    <n v="24"/>
    <n v="19"/>
    <n v="23"/>
    <m/>
    <m/>
    <m/>
    <m/>
    <m/>
    <m/>
    <m/>
    <m/>
    <m/>
    <m/>
  </r>
  <r>
    <n v="722"/>
    <x v="82"/>
    <d v="2024-05-15T00:00:00"/>
    <n v="48"/>
    <x v="3"/>
    <x v="2"/>
    <n v="52"/>
    <x v="2"/>
    <n v="14"/>
    <n v="45"/>
    <n v="22"/>
    <n v="20"/>
    <n v="16"/>
    <n v="30"/>
    <n v="18"/>
    <m/>
    <n v="19"/>
    <n v="23"/>
    <m/>
    <m/>
    <m/>
    <m/>
    <m/>
  </r>
  <r>
    <n v="723"/>
    <x v="14"/>
    <d v="2024-05-24T00:00:00"/>
    <n v="107"/>
    <x v="4"/>
    <x v="3"/>
    <n v="297"/>
    <x v="3"/>
    <m/>
    <m/>
    <m/>
    <m/>
    <m/>
    <m/>
    <n v="19"/>
    <n v="16"/>
    <n v="23"/>
    <n v="15"/>
    <m/>
    <m/>
    <n v="22"/>
    <n v="23"/>
    <n v="14"/>
  </r>
  <r>
    <n v="724"/>
    <x v="20"/>
    <d v="2024-05-16T00:00:00"/>
    <n v="28"/>
    <x v="1"/>
    <x v="3"/>
    <n v="195"/>
    <x v="2"/>
    <n v="15"/>
    <n v="46"/>
    <n v="23"/>
    <n v="22"/>
    <m/>
    <n v="30"/>
    <n v="16"/>
    <n v="20"/>
    <m/>
    <m/>
    <m/>
    <m/>
    <m/>
    <m/>
    <m/>
  </r>
  <r>
    <n v="725"/>
    <x v="55"/>
    <d v="2024-05-16T00:00:00"/>
    <n v="43"/>
    <x v="1"/>
    <x v="4"/>
    <n v="51"/>
    <x v="0"/>
    <n v="16"/>
    <n v="26"/>
    <n v="21"/>
    <n v="21"/>
    <m/>
    <n v="43"/>
    <n v="18"/>
    <n v="24"/>
    <m/>
    <m/>
    <m/>
    <m/>
    <m/>
    <m/>
    <m/>
  </r>
  <r>
    <n v="726"/>
    <x v="26"/>
    <d v="2024-05-19T00:00:00"/>
    <n v="79"/>
    <x v="4"/>
    <x v="4"/>
    <n v="139"/>
    <x v="3"/>
    <m/>
    <m/>
    <m/>
    <m/>
    <m/>
    <m/>
    <n v="21"/>
    <n v="18"/>
    <n v="21"/>
    <n v="21"/>
    <m/>
    <m/>
    <n v="15"/>
    <n v="22"/>
    <n v="18"/>
  </r>
  <r>
    <n v="727"/>
    <x v="112"/>
    <d v="2024-05-13T00:00:00"/>
    <n v="105"/>
    <x v="3"/>
    <x v="4"/>
    <n v="266"/>
    <x v="1"/>
    <n v="15"/>
    <n v="41"/>
    <n v="20"/>
    <n v="21"/>
    <n v="14"/>
    <n v="44"/>
    <n v="21"/>
    <m/>
    <n v="23"/>
    <n v="17"/>
    <m/>
    <m/>
    <m/>
    <m/>
    <m/>
  </r>
  <r>
    <n v="728"/>
    <x v="35"/>
    <d v="2024-05-11T00:00:00"/>
    <n v="75"/>
    <x v="4"/>
    <x v="3"/>
    <n v="421"/>
    <x v="3"/>
    <m/>
    <m/>
    <m/>
    <m/>
    <m/>
    <m/>
    <n v="18"/>
    <n v="14"/>
    <n v="21"/>
    <n v="18"/>
    <m/>
    <m/>
    <n v="17"/>
    <n v="20"/>
    <n v="18"/>
  </r>
  <r>
    <n v="729"/>
    <x v="76"/>
    <d v="2024-05-24T00:00:00"/>
    <n v="90"/>
    <x v="4"/>
    <x v="2"/>
    <n v="261"/>
    <x v="2"/>
    <m/>
    <m/>
    <m/>
    <m/>
    <m/>
    <m/>
    <n v="19"/>
    <n v="23"/>
    <n v="19"/>
    <n v="16"/>
    <m/>
    <m/>
    <n v="22"/>
    <n v="21"/>
    <n v="22"/>
  </r>
  <r>
    <n v="730"/>
    <x v="112"/>
    <d v="2024-05-25T00:00:00"/>
    <n v="117"/>
    <x v="1"/>
    <x v="4"/>
    <n v="203"/>
    <x v="1"/>
    <n v="22"/>
    <n v="24"/>
    <n v="23"/>
    <n v="21"/>
    <m/>
    <n v="32"/>
    <n v="14"/>
    <n v="23"/>
    <m/>
    <m/>
    <m/>
    <m/>
    <m/>
    <m/>
    <m/>
  </r>
  <r>
    <n v="731"/>
    <x v="110"/>
    <d v="2024-05-04T00:00:00"/>
    <n v="112"/>
    <x v="0"/>
    <x v="4"/>
    <n v="237"/>
    <x v="4"/>
    <n v="21"/>
    <n v="29"/>
    <n v="17"/>
    <n v="23"/>
    <n v="24"/>
    <m/>
    <m/>
    <m/>
    <m/>
    <m/>
    <m/>
    <m/>
    <m/>
    <m/>
    <m/>
  </r>
  <r>
    <n v="732"/>
    <x v="13"/>
    <d v="2024-05-04T00:00:00"/>
    <n v="32"/>
    <x v="4"/>
    <x v="1"/>
    <n v="264"/>
    <x v="4"/>
    <m/>
    <m/>
    <m/>
    <m/>
    <m/>
    <m/>
    <n v="23"/>
    <n v="19"/>
    <n v="15"/>
    <n v="19"/>
    <m/>
    <m/>
    <n v="18"/>
    <n v="15"/>
    <n v="23"/>
  </r>
  <r>
    <n v="733"/>
    <x v="5"/>
    <d v="2024-05-07T00:00:00"/>
    <n v="42"/>
    <x v="1"/>
    <x v="2"/>
    <n v="279"/>
    <x v="4"/>
    <n v="14"/>
    <n v="32"/>
    <n v="21"/>
    <n v="21"/>
    <m/>
    <n v="38"/>
    <n v="20"/>
    <n v="19"/>
    <m/>
    <m/>
    <m/>
    <m/>
    <m/>
    <m/>
    <m/>
  </r>
  <r>
    <n v="734"/>
    <x v="100"/>
    <d v="2024-05-27T00:00:00"/>
    <n v="95"/>
    <x v="3"/>
    <x v="3"/>
    <n v="277"/>
    <x v="0"/>
    <n v="18"/>
    <n v="29"/>
    <n v="14"/>
    <n v="24"/>
    <n v="15"/>
    <n v="29"/>
    <n v="23"/>
    <m/>
    <n v="17"/>
    <n v="21"/>
    <m/>
    <m/>
    <m/>
    <m/>
    <m/>
  </r>
  <r>
    <n v="735"/>
    <x v="27"/>
    <d v="2024-05-19T00:00:00"/>
    <n v="131"/>
    <x v="0"/>
    <x v="1"/>
    <n v="69"/>
    <x v="1"/>
    <n v="14"/>
    <n v="41"/>
    <n v="20"/>
    <n v="17"/>
    <n v="15"/>
    <m/>
    <m/>
    <m/>
    <m/>
    <m/>
    <m/>
    <m/>
    <m/>
    <m/>
    <m/>
  </r>
  <r>
    <n v="736"/>
    <x v="25"/>
    <d v="2024-05-22T00:00:00"/>
    <n v="29"/>
    <x v="1"/>
    <x v="2"/>
    <n v="164"/>
    <x v="4"/>
    <n v="21"/>
    <n v="50"/>
    <n v="14"/>
    <n v="15"/>
    <m/>
    <n v="25"/>
    <n v="19"/>
    <n v="18"/>
    <m/>
    <m/>
    <m/>
    <m/>
    <m/>
    <m/>
    <m/>
  </r>
  <r>
    <n v="737"/>
    <x v="74"/>
    <d v="2024-05-04T00:00:00"/>
    <n v="90"/>
    <x v="3"/>
    <x v="0"/>
    <n v="488"/>
    <x v="0"/>
    <n v="18"/>
    <n v="22"/>
    <n v="23"/>
    <n v="22"/>
    <n v="19"/>
    <n v="37"/>
    <n v="19"/>
    <m/>
    <n v="22"/>
    <n v="20"/>
    <m/>
    <m/>
    <m/>
    <m/>
    <m/>
  </r>
  <r>
    <n v="738"/>
    <x v="38"/>
    <d v="2024-05-21T00:00:00"/>
    <n v="77"/>
    <x v="2"/>
    <x v="3"/>
    <n v="106"/>
    <x v="3"/>
    <m/>
    <m/>
    <m/>
    <m/>
    <m/>
    <m/>
    <n v="22"/>
    <m/>
    <n v="20"/>
    <n v="15"/>
    <n v="24"/>
    <n v="18"/>
    <n v="15"/>
    <m/>
    <m/>
  </r>
  <r>
    <n v="739"/>
    <x v="102"/>
    <d v="2024-05-17T00:00:00"/>
    <n v="91"/>
    <x v="1"/>
    <x v="2"/>
    <n v="250"/>
    <x v="2"/>
    <n v="18"/>
    <n v="44"/>
    <n v="19"/>
    <n v="14"/>
    <m/>
    <n v="44"/>
    <n v="21"/>
    <n v="24"/>
    <m/>
    <m/>
    <m/>
    <m/>
    <m/>
    <m/>
    <m/>
  </r>
  <r>
    <n v="740"/>
    <x v="116"/>
    <d v="2024-05-07T00:00:00"/>
    <n v="121"/>
    <x v="1"/>
    <x v="0"/>
    <n v="261"/>
    <x v="0"/>
    <n v="16"/>
    <n v="30"/>
    <n v="18"/>
    <n v="23"/>
    <m/>
    <n v="50"/>
    <n v="23"/>
    <n v="21"/>
    <m/>
    <m/>
    <m/>
    <m/>
    <m/>
    <m/>
    <m/>
  </r>
  <r>
    <n v="741"/>
    <x v="27"/>
    <d v="2024-05-20T00:00:00"/>
    <n v="132"/>
    <x v="0"/>
    <x v="1"/>
    <n v="278"/>
    <x v="1"/>
    <n v="24"/>
    <n v="32"/>
    <n v="14"/>
    <n v="23"/>
    <n v="23"/>
    <m/>
    <m/>
    <m/>
    <m/>
    <m/>
    <m/>
    <m/>
    <m/>
    <m/>
    <m/>
  </r>
  <r>
    <n v="742"/>
    <x v="55"/>
    <d v="2024-05-19T00:00:00"/>
    <n v="46"/>
    <x v="2"/>
    <x v="3"/>
    <n v="469"/>
    <x v="0"/>
    <m/>
    <m/>
    <m/>
    <m/>
    <m/>
    <m/>
    <n v="23"/>
    <m/>
    <n v="20"/>
    <n v="24"/>
    <n v="23"/>
    <n v="23"/>
    <n v="14"/>
    <m/>
    <m/>
  </r>
  <r>
    <n v="743"/>
    <x v="70"/>
    <d v="2024-05-07T00:00:00"/>
    <n v="92"/>
    <x v="3"/>
    <x v="0"/>
    <n v="54"/>
    <x v="0"/>
    <n v="19"/>
    <n v="45"/>
    <n v="14"/>
    <n v="14"/>
    <n v="16"/>
    <n v="33"/>
    <n v="14"/>
    <m/>
    <n v="16"/>
    <n v="22"/>
    <m/>
    <m/>
    <m/>
    <m/>
    <m/>
  </r>
  <r>
    <n v="744"/>
    <x v="68"/>
    <d v="2024-05-23T00:00:00"/>
    <n v="86"/>
    <x v="2"/>
    <x v="4"/>
    <n v="218"/>
    <x v="4"/>
    <m/>
    <m/>
    <m/>
    <m/>
    <m/>
    <m/>
    <n v="19"/>
    <m/>
    <n v="19"/>
    <n v="19"/>
    <n v="19"/>
    <n v="19"/>
    <n v="23"/>
    <m/>
    <m/>
  </r>
  <r>
    <n v="745"/>
    <x v="27"/>
    <d v="2024-05-28T00:00:00"/>
    <n v="140"/>
    <x v="4"/>
    <x v="4"/>
    <n v="351"/>
    <x v="0"/>
    <m/>
    <m/>
    <m/>
    <m/>
    <m/>
    <m/>
    <n v="24"/>
    <n v="24"/>
    <n v="19"/>
    <n v="16"/>
    <m/>
    <m/>
    <n v="21"/>
    <n v="15"/>
    <n v="21"/>
  </r>
  <r>
    <n v="746"/>
    <x v="16"/>
    <d v="2024-05-23T00:00:00"/>
    <n v="61"/>
    <x v="0"/>
    <x v="4"/>
    <n v="71"/>
    <x v="2"/>
    <n v="24"/>
    <n v="43"/>
    <n v="16"/>
    <n v="24"/>
    <n v="23"/>
    <m/>
    <m/>
    <m/>
    <m/>
    <m/>
    <m/>
    <m/>
    <m/>
    <m/>
    <m/>
  </r>
  <r>
    <n v="747"/>
    <x v="107"/>
    <d v="2024-05-24T00:00:00"/>
    <n v="143"/>
    <x v="1"/>
    <x v="0"/>
    <n v="198"/>
    <x v="0"/>
    <n v="20"/>
    <n v="43"/>
    <n v="19"/>
    <n v="22"/>
    <m/>
    <n v="47"/>
    <n v="14"/>
    <n v="17"/>
    <m/>
    <m/>
    <m/>
    <m/>
    <m/>
    <m/>
    <m/>
  </r>
  <r>
    <n v="748"/>
    <x v="67"/>
    <d v="2024-05-22T00:00:00"/>
    <n v="140"/>
    <x v="4"/>
    <x v="2"/>
    <n v="287"/>
    <x v="4"/>
    <m/>
    <m/>
    <m/>
    <m/>
    <m/>
    <m/>
    <n v="22"/>
    <n v="14"/>
    <n v="24"/>
    <n v="18"/>
    <m/>
    <m/>
    <n v="19"/>
    <n v="22"/>
    <n v="15"/>
  </r>
  <r>
    <n v="749"/>
    <x v="76"/>
    <d v="2024-05-26T00:00:00"/>
    <n v="92"/>
    <x v="0"/>
    <x v="0"/>
    <n v="399"/>
    <x v="0"/>
    <n v="14"/>
    <n v="49"/>
    <n v="21"/>
    <n v="24"/>
    <n v="21"/>
    <m/>
    <m/>
    <m/>
    <m/>
    <m/>
    <m/>
    <m/>
    <m/>
    <m/>
    <m/>
  </r>
  <r>
    <n v="750"/>
    <x v="71"/>
    <d v="2024-05-18T00:00:00"/>
    <n v="98"/>
    <x v="0"/>
    <x v="4"/>
    <n v="54"/>
    <x v="3"/>
    <n v="19"/>
    <n v="47"/>
    <n v="23"/>
    <n v="16"/>
    <n v="15"/>
    <m/>
    <m/>
    <m/>
    <m/>
    <m/>
    <m/>
    <m/>
    <m/>
    <m/>
    <m/>
  </r>
  <r>
    <n v="751"/>
    <x v="75"/>
    <d v="2024-05-06T00:00:00"/>
    <n v="73"/>
    <x v="2"/>
    <x v="4"/>
    <n v="334"/>
    <x v="4"/>
    <m/>
    <m/>
    <m/>
    <m/>
    <m/>
    <m/>
    <n v="19"/>
    <m/>
    <n v="16"/>
    <n v="15"/>
    <n v="21"/>
    <n v="24"/>
    <n v="17"/>
    <m/>
    <m/>
  </r>
  <r>
    <n v="752"/>
    <x v="61"/>
    <d v="2024-04-30T00:00:00"/>
    <n v="75"/>
    <x v="3"/>
    <x v="0"/>
    <n v="227"/>
    <x v="2"/>
    <n v="21"/>
    <n v="34"/>
    <n v="16"/>
    <n v="14"/>
    <n v="19"/>
    <n v="38"/>
    <n v="16"/>
    <m/>
    <n v="14"/>
    <n v="22"/>
    <m/>
    <m/>
    <m/>
    <m/>
    <m/>
  </r>
  <r>
    <n v="753"/>
    <x v="65"/>
    <d v="2024-05-24T00:00:00"/>
    <n v="60"/>
    <x v="4"/>
    <x v="1"/>
    <n v="114"/>
    <x v="1"/>
    <m/>
    <m/>
    <m/>
    <m/>
    <m/>
    <m/>
    <n v="23"/>
    <n v="14"/>
    <n v="17"/>
    <n v="15"/>
    <m/>
    <m/>
    <n v="24"/>
    <n v="23"/>
    <n v="16"/>
  </r>
  <r>
    <n v="754"/>
    <x v="95"/>
    <d v="2024-05-02T00:00:00"/>
    <n v="79"/>
    <x v="1"/>
    <x v="0"/>
    <n v="401"/>
    <x v="3"/>
    <n v="19"/>
    <n v="47"/>
    <n v="23"/>
    <n v="15"/>
    <m/>
    <n v="48"/>
    <n v="16"/>
    <n v="16"/>
    <m/>
    <m/>
    <m/>
    <m/>
    <m/>
    <m/>
    <m/>
  </r>
  <r>
    <n v="755"/>
    <x v="80"/>
    <d v="2024-05-24T00:00:00"/>
    <n v="39"/>
    <x v="0"/>
    <x v="4"/>
    <n v="333"/>
    <x v="3"/>
    <n v="14"/>
    <n v="38"/>
    <n v="19"/>
    <n v="15"/>
    <n v="23"/>
    <m/>
    <m/>
    <m/>
    <m/>
    <m/>
    <m/>
    <m/>
    <m/>
    <m/>
    <m/>
  </r>
  <r>
    <n v="756"/>
    <x v="87"/>
    <d v="2024-05-28T00:00:00"/>
    <n v="49"/>
    <x v="3"/>
    <x v="2"/>
    <n v="111"/>
    <x v="2"/>
    <n v="24"/>
    <n v="29"/>
    <n v="19"/>
    <n v="19"/>
    <n v="15"/>
    <n v="35"/>
    <n v="24"/>
    <m/>
    <n v="24"/>
    <n v="22"/>
    <m/>
    <m/>
    <m/>
    <m/>
    <m/>
  </r>
  <r>
    <n v="757"/>
    <x v="41"/>
    <d v="2024-05-12T00:00:00"/>
    <n v="81"/>
    <x v="0"/>
    <x v="1"/>
    <n v="86"/>
    <x v="3"/>
    <n v="15"/>
    <n v="47"/>
    <n v="18"/>
    <n v="18"/>
    <n v="15"/>
    <m/>
    <m/>
    <m/>
    <m/>
    <m/>
    <m/>
    <m/>
    <m/>
    <m/>
    <m/>
  </r>
  <r>
    <n v="758"/>
    <x v="0"/>
    <d v="2024-04-30T00:00:00"/>
    <n v="109"/>
    <x v="2"/>
    <x v="4"/>
    <n v="307"/>
    <x v="3"/>
    <m/>
    <m/>
    <m/>
    <m/>
    <m/>
    <m/>
    <n v="24"/>
    <m/>
    <n v="16"/>
    <n v="21"/>
    <n v="21"/>
    <n v="16"/>
    <n v="16"/>
    <m/>
    <m/>
  </r>
  <r>
    <n v="759"/>
    <x v="22"/>
    <d v="2024-05-07T00:00:00"/>
    <n v="57"/>
    <x v="3"/>
    <x v="4"/>
    <n v="154"/>
    <x v="1"/>
    <n v="23"/>
    <n v="47"/>
    <n v="19"/>
    <n v="21"/>
    <n v="22"/>
    <n v="33"/>
    <n v="20"/>
    <m/>
    <n v="18"/>
    <n v="15"/>
    <m/>
    <m/>
    <m/>
    <m/>
    <m/>
  </r>
  <r>
    <n v="760"/>
    <x v="18"/>
    <d v="2024-05-04T00:00:00"/>
    <n v="119"/>
    <x v="3"/>
    <x v="2"/>
    <n v="317"/>
    <x v="4"/>
    <n v="17"/>
    <n v="21"/>
    <n v="23"/>
    <n v="16"/>
    <n v="16"/>
    <n v="27"/>
    <n v="22"/>
    <m/>
    <n v="24"/>
    <n v="20"/>
    <m/>
    <m/>
    <m/>
    <m/>
    <m/>
  </r>
  <r>
    <n v="761"/>
    <x v="8"/>
    <d v="2024-05-17T00:00:00"/>
    <n v="54"/>
    <x v="0"/>
    <x v="4"/>
    <n v="182"/>
    <x v="0"/>
    <n v="17"/>
    <n v="35"/>
    <n v="21"/>
    <n v="24"/>
    <n v="24"/>
    <m/>
    <m/>
    <m/>
    <m/>
    <m/>
    <m/>
    <m/>
    <m/>
    <m/>
    <m/>
  </r>
  <r>
    <n v="762"/>
    <x v="75"/>
    <d v="2024-04-29T00:00:00"/>
    <n v="66"/>
    <x v="4"/>
    <x v="0"/>
    <n v="201"/>
    <x v="1"/>
    <m/>
    <m/>
    <m/>
    <m/>
    <m/>
    <m/>
    <n v="16"/>
    <n v="20"/>
    <n v="24"/>
    <n v="22"/>
    <m/>
    <m/>
    <n v="22"/>
    <n v="16"/>
    <n v="16"/>
  </r>
  <r>
    <n v="763"/>
    <x v="79"/>
    <d v="2024-05-20T00:00:00"/>
    <n v="40"/>
    <x v="3"/>
    <x v="0"/>
    <n v="489"/>
    <x v="2"/>
    <n v="16"/>
    <n v="38"/>
    <n v="23"/>
    <n v="14"/>
    <n v="14"/>
    <n v="26"/>
    <n v="24"/>
    <m/>
    <n v="17"/>
    <n v="14"/>
    <m/>
    <m/>
    <m/>
    <m/>
    <m/>
  </r>
  <r>
    <n v="764"/>
    <x v="62"/>
    <d v="2024-05-23T00:00:00"/>
    <n v="46"/>
    <x v="1"/>
    <x v="2"/>
    <n v="344"/>
    <x v="1"/>
    <n v="22"/>
    <n v="33"/>
    <n v="24"/>
    <n v="18"/>
    <m/>
    <n v="40"/>
    <n v="17"/>
    <n v="19"/>
    <m/>
    <m/>
    <m/>
    <m/>
    <m/>
    <m/>
    <m/>
  </r>
  <r>
    <n v="765"/>
    <x v="113"/>
    <d v="2024-05-11T00:00:00"/>
    <n v="115"/>
    <x v="2"/>
    <x v="2"/>
    <n v="124"/>
    <x v="2"/>
    <m/>
    <m/>
    <m/>
    <m/>
    <m/>
    <m/>
    <n v="14"/>
    <m/>
    <n v="18"/>
    <n v="22"/>
    <n v="19"/>
    <n v="17"/>
    <n v="21"/>
    <m/>
    <m/>
  </r>
  <r>
    <n v="766"/>
    <x v="48"/>
    <d v="2024-04-29T00:00:00"/>
    <n v="18"/>
    <x v="1"/>
    <x v="2"/>
    <n v="133"/>
    <x v="3"/>
    <n v="18"/>
    <n v="20"/>
    <n v="15"/>
    <n v="19"/>
    <m/>
    <n v="25"/>
    <n v="22"/>
    <n v="21"/>
    <m/>
    <m/>
    <m/>
    <m/>
    <m/>
    <m/>
    <m/>
  </r>
  <r>
    <n v="767"/>
    <x v="55"/>
    <d v="2024-05-12T00:00:00"/>
    <n v="39"/>
    <x v="2"/>
    <x v="2"/>
    <n v="428"/>
    <x v="3"/>
    <m/>
    <m/>
    <m/>
    <m/>
    <m/>
    <m/>
    <n v="22"/>
    <m/>
    <n v="16"/>
    <n v="19"/>
    <n v="22"/>
    <n v="21"/>
    <n v="20"/>
    <m/>
    <m/>
  </r>
  <r>
    <n v="768"/>
    <x v="37"/>
    <d v="2024-05-20T00:00:00"/>
    <n v="49"/>
    <x v="0"/>
    <x v="4"/>
    <n v="289"/>
    <x v="2"/>
    <n v="18"/>
    <n v="35"/>
    <n v="17"/>
    <n v="15"/>
    <n v="16"/>
    <m/>
    <m/>
    <m/>
    <m/>
    <m/>
    <m/>
    <m/>
    <m/>
    <m/>
    <m/>
  </r>
  <r>
    <n v="769"/>
    <x v="73"/>
    <d v="2024-05-15T00:00:00"/>
    <n v="69"/>
    <x v="4"/>
    <x v="0"/>
    <n v="276"/>
    <x v="4"/>
    <m/>
    <m/>
    <m/>
    <m/>
    <m/>
    <m/>
    <n v="24"/>
    <n v="19"/>
    <n v="19"/>
    <n v="24"/>
    <m/>
    <m/>
    <n v="17"/>
    <n v="21"/>
    <n v="23"/>
  </r>
  <r>
    <n v="770"/>
    <x v="7"/>
    <d v="2024-05-27T00:00:00"/>
    <n v="100"/>
    <x v="3"/>
    <x v="0"/>
    <n v="180"/>
    <x v="4"/>
    <n v="22"/>
    <n v="44"/>
    <n v="22"/>
    <n v="16"/>
    <n v="24"/>
    <n v="46"/>
    <n v="14"/>
    <m/>
    <n v="16"/>
    <n v="18"/>
    <m/>
    <m/>
    <m/>
    <m/>
    <m/>
  </r>
  <r>
    <n v="771"/>
    <x v="42"/>
    <d v="2024-04-29T00:00:00"/>
    <n v="87"/>
    <x v="2"/>
    <x v="3"/>
    <n v="441"/>
    <x v="2"/>
    <m/>
    <m/>
    <m/>
    <m/>
    <m/>
    <m/>
    <n v="22"/>
    <m/>
    <n v="19"/>
    <n v="17"/>
    <n v="21"/>
    <n v="19"/>
    <n v="20"/>
    <m/>
    <m/>
  </r>
  <r>
    <n v="772"/>
    <x v="28"/>
    <d v="2024-05-13T00:00:00"/>
    <n v="17"/>
    <x v="4"/>
    <x v="3"/>
    <n v="203"/>
    <x v="4"/>
    <m/>
    <m/>
    <m/>
    <m/>
    <m/>
    <m/>
    <n v="14"/>
    <n v="18"/>
    <n v="15"/>
    <n v="19"/>
    <m/>
    <m/>
    <n v="14"/>
    <n v="14"/>
    <n v="14"/>
  </r>
  <r>
    <n v="773"/>
    <x v="85"/>
    <d v="2024-05-23T00:00:00"/>
    <n v="36"/>
    <x v="3"/>
    <x v="2"/>
    <n v="408"/>
    <x v="1"/>
    <n v="21"/>
    <n v="42"/>
    <n v="15"/>
    <n v="14"/>
    <n v="14"/>
    <n v="34"/>
    <n v="20"/>
    <m/>
    <n v="23"/>
    <n v="14"/>
    <m/>
    <m/>
    <m/>
    <m/>
    <m/>
  </r>
  <r>
    <n v="774"/>
    <x v="13"/>
    <d v="2024-05-16T00:00:00"/>
    <n v="44"/>
    <x v="2"/>
    <x v="2"/>
    <n v="133"/>
    <x v="3"/>
    <m/>
    <m/>
    <m/>
    <m/>
    <m/>
    <m/>
    <n v="15"/>
    <m/>
    <n v="18"/>
    <n v="16"/>
    <n v="16"/>
    <n v="21"/>
    <n v="16"/>
    <m/>
    <m/>
  </r>
  <r>
    <n v="775"/>
    <x v="3"/>
    <d v="2024-05-25T00:00:00"/>
    <n v="41"/>
    <x v="1"/>
    <x v="3"/>
    <n v="437"/>
    <x v="3"/>
    <n v="18"/>
    <n v="40"/>
    <n v="19"/>
    <n v="24"/>
    <m/>
    <n v="20"/>
    <n v="23"/>
    <n v="19"/>
    <m/>
    <m/>
    <m/>
    <m/>
    <m/>
    <m/>
    <m/>
  </r>
  <r>
    <n v="776"/>
    <x v="50"/>
    <d v="2024-05-16T00:00:00"/>
    <n v="126"/>
    <x v="4"/>
    <x v="3"/>
    <n v="236"/>
    <x v="4"/>
    <m/>
    <m/>
    <m/>
    <m/>
    <m/>
    <m/>
    <n v="17"/>
    <n v="21"/>
    <n v="16"/>
    <n v="19"/>
    <m/>
    <m/>
    <n v="22"/>
    <n v="19"/>
    <n v="14"/>
  </r>
  <r>
    <n v="777"/>
    <x v="40"/>
    <d v="2024-05-10T00:00:00"/>
    <n v="21"/>
    <x v="0"/>
    <x v="1"/>
    <n v="188"/>
    <x v="3"/>
    <n v="23"/>
    <n v="49"/>
    <n v="20"/>
    <n v="23"/>
    <n v="19"/>
    <m/>
    <m/>
    <m/>
    <m/>
    <m/>
    <m/>
    <m/>
    <m/>
    <m/>
    <m/>
  </r>
  <r>
    <n v="778"/>
    <x v="71"/>
    <d v="2024-05-10T00:00:00"/>
    <n v="90"/>
    <x v="4"/>
    <x v="2"/>
    <n v="71"/>
    <x v="2"/>
    <m/>
    <m/>
    <m/>
    <m/>
    <m/>
    <m/>
    <n v="14"/>
    <n v="19"/>
    <n v="20"/>
    <n v="17"/>
    <m/>
    <m/>
    <n v="20"/>
    <n v="16"/>
    <n v="22"/>
  </r>
  <r>
    <n v="779"/>
    <x v="41"/>
    <d v="2024-05-26T00:00:00"/>
    <n v="95"/>
    <x v="3"/>
    <x v="3"/>
    <n v="160"/>
    <x v="1"/>
    <n v="22"/>
    <n v="23"/>
    <n v="16"/>
    <n v="19"/>
    <n v="23"/>
    <n v="40"/>
    <n v="14"/>
    <m/>
    <n v="18"/>
    <n v="14"/>
    <m/>
    <m/>
    <m/>
    <m/>
    <m/>
  </r>
  <r>
    <n v="780"/>
    <x v="59"/>
    <d v="2024-05-06T00:00:00"/>
    <n v="31"/>
    <x v="2"/>
    <x v="3"/>
    <n v="97"/>
    <x v="4"/>
    <m/>
    <m/>
    <m/>
    <m/>
    <m/>
    <m/>
    <n v="18"/>
    <m/>
    <n v="14"/>
    <n v="24"/>
    <n v="16"/>
    <n v="17"/>
    <n v="15"/>
    <m/>
    <m/>
  </r>
  <r>
    <n v="781"/>
    <x v="22"/>
    <d v="2024-05-09T00:00:00"/>
    <n v="59"/>
    <x v="3"/>
    <x v="4"/>
    <n v="298"/>
    <x v="0"/>
    <n v="19"/>
    <n v="34"/>
    <n v="22"/>
    <n v="19"/>
    <n v="15"/>
    <n v="42"/>
    <n v="19"/>
    <m/>
    <n v="21"/>
    <n v="20"/>
    <m/>
    <m/>
    <m/>
    <m/>
    <m/>
  </r>
  <r>
    <n v="782"/>
    <x v="91"/>
    <d v="2024-05-22T00:00:00"/>
    <n v="93"/>
    <x v="4"/>
    <x v="1"/>
    <n v="467"/>
    <x v="0"/>
    <m/>
    <m/>
    <m/>
    <m/>
    <m/>
    <m/>
    <n v="20"/>
    <n v="23"/>
    <n v="22"/>
    <n v="19"/>
    <m/>
    <m/>
    <n v="23"/>
    <n v="19"/>
    <n v="17"/>
  </r>
  <r>
    <n v="783"/>
    <x v="103"/>
    <d v="2024-05-14T00:00:00"/>
    <n v="90"/>
    <x v="0"/>
    <x v="1"/>
    <n v="305"/>
    <x v="2"/>
    <n v="18"/>
    <n v="34"/>
    <n v="16"/>
    <n v="17"/>
    <n v="17"/>
    <m/>
    <m/>
    <m/>
    <m/>
    <m/>
    <m/>
    <m/>
    <m/>
    <m/>
    <m/>
  </r>
  <r>
    <n v="784"/>
    <x v="86"/>
    <d v="2024-05-01T00:00:00"/>
    <n v="112"/>
    <x v="4"/>
    <x v="0"/>
    <n v="169"/>
    <x v="1"/>
    <m/>
    <m/>
    <m/>
    <m/>
    <m/>
    <m/>
    <n v="20"/>
    <n v="18"/>
    <n v="23"/>
    <n v="16"/>
    <m/>
    <m/>
    <n v="16"/>
    <n v="17"/>
    <n v="23"/>
  </r>
  <r>
    <n v="785"/>
    <x v="7"/>
    <d v="2024-05-07T00:00:00"/>
    <n v="80"/>
    <x v="4"/>
    <x v="4"/>
    <n v="490"/>
    <x v="3"/>
    <m/>
    <m/>
    <m/>
    <m/>
    <m/>
    <m/>
    <n v="20"/>
    <n v="19"/>
    <n v="14"/>
    <n v="23"/>
    <m/>
    <m/>
    <n v="19"/>
    <n v="16"/>
    <n v="16"/>
  </r>
  <r>
    <n v="786"/>
    <x v="52"/>
    <d v="2024-05-11T00:00:00"/>
    <n v="19"/>
    <x v="1"/>
    <x v="1"/>
    <n v="370"/>
    <x v="2"/>
    <n v="16"/>
    <n v="24"/>
    <n v="19"/>
    <n v="17"/>
    <m/>
    <n v="41"/>
    <n v="20"/>
    <n v="17"/>
    <m/>
    <m/>
    <m/>
    <m/>
    <m/>
    <m/>
    <m/>
  </r>
  <r>
    <n v="787"/>
    <x v="14"/>
    <d v="2024-05-27T00:00:00"/>
    <n v="110"/>
    <x v="1"/>
    <x v="4"/>
    <n v="309"/>
    <x v="1"/>
    <n v="18"/>
    <n v="20"/>
    <n v="17"/>
    <n v="24"/>
    <m/>
    <n v="41"/>
    <n v="20"/>
    <n v="14"/>
    <m/>
    <m/>
    <m/>
    <m/>
    <m/>
    <m/>
    <m/>
  </r>
  <r>
    <n v="788"/>
    <x v="3"/>
    <d v="2024-05-22T00:00:00"/>
    <n v="38"/>
    <x v="1"/>
    <x v="4"/>
    <n v="283"/>
    <x v="0"/>
    <n v="20"/>
    <n v="41"/>
    <n v="15"/>
    <n v="18"/>
    <m/>
    <n v="41"/>
    <n v="16"/>
    <n v="24"/>
    <m/>
    <m/>
    <m/>
    <m/>
    <m/>
    <m/>
    <m/>
  </r>
  <r>
    <n v="789"/>
    <x v="55"/>
    <d v="2024-05-28T00:00:00"/>
    <n v="55"/>
    <x v="0"/>
    <x v="3"/>
    <n v="254"/>
    <x v="2"/>
    <n v="23"/>
    <n v="30"/>
    <n v="18"/>
    <n v="18"/>
    <n v="22"/>
    <m/>
    <m/>
    <m/>
    <m/>
    <m/>
    <m/>
    <m/>
    <m/>
    <m/>
    <m/>
  </r>
  <r>
    <n v="790"/>
    <x v="18"/>
    <d v="2024-05-24T00:00:00"/>
    <n v="139"/>
    <x v="4"/>
    <x v="0"/>
    <n v="153"/>
    <x v="4"/>
    <m/>
    <m/>
    <m/>
    <m/>
    <m/>
    <m/>
    <n v="21"/>
    <n v="18"/>
    <n v="17"/>
    <n v="14"/>
    <m/>
    <m/>
    <n v="19"/>
    <n v="23"/>
    <n v="17"/>
  </r>
  <r>
    <n v="791"/>
    <x v="31"/>
    <d v="2024-05-10T00:00:00"/>
    <n v="89"/>
    <x v="3"/>
    <x v="0"/>
    <n v="244"/>
    <x v="3"/>
    <n v="18"/>
    <n v="50"/>
    <n v="19"/>
    <n v="19"/>
    <n v="15"/>
    <n v="35"/>
    <n v="17"/>
    <m/>
    <n v="17"/>
    <n v="18"/>
    <m/>
    <m/>
    <m/>
    <m/>
    <m/>
  </r>
  <r>
    <n v="792"/>
    <x v="111"/>
    <d v="2024-05-11T00:00:00"/>
    <n v="92"/>
    <x v="1"/>
    <x v="3"/>
    <n v="143"/>
    <x v="2"/>
    <n v="24"/>
    <n v="37"/>
    <n v="24"/>
    <n v="19"/>
    <m/>
    <n v="47"/>
    <n v="18"/>
    <n v="15"/>
    <m/>
    <m/>
    <m/>
    <m/>
    <m/>
    <m/>
    <m/>
  </r>
  <r>
    <n v="793"/>
    <x v="111"/>
    <d v="2024-05-13T00:00:00"/>
    <n v="94"/>
    <x v="0"/>
    <x v="0"/>
    <n v="88"/>
    <x v="1"/>
    <n v="14"/>
    <n v="21"/>
    <n v="18"/>
    <n v="16"/>
    <n v="20"/>
    <m/>
    <m/>
    <m/>
    <m/>
    <m/>
    <m/>
    <m/>
    <m/>
    <m/>
    <m/>
  </r>
  <r>
    <n v="794"/>
    <x v="73"/>
    <d v="2024-05-09T00:00:00"/>
    <n v="63"/>
    <x v="0"/>
    <x v="2"/>
    <n v="57"/>
    <x v="1"/>
    <n v="24"/>
    <n v="22"/>
    <n v="23"/>
    <n v="14"/>
    <n v="15"/>
    <m/>
    <m/>
    <m/>
    <m/>
    <m/>
    <m/>
    <m/>
    <m/>
    <m/>
    <m/>
  </r>
  <r>
    <n v="795"/>
    <x v="116"/>
    <d v="2024-05-04T00:00:00"/>
    <n v="118"/>
    <x v="0"/>
    <x v="1"/>
    <n v="288"/>
    <x v="4"/>
    <n v="19"/>
    <n v="42"/>
    <n v="20"/>
    <n v="20"/>
    <n v="23"/>
    <m/>
    <m/>
    <m/>
    <m/>
    <m/>
    <m/>
    <m/>
    <m/>
    <m/>
    <m/>
  </r>
  <r>
    <n v="796"/>
    <x v="37"/>
    <d v="2024-05-06T00:00:00"/>
    <n v="35"/>
    <x v="3"/>
    <x v="0"/>
    <n v="257"/>
    <x v="1"/>
    <n v="23"/>
    <n v="20"/>
    <n v="23"/>
    <n v="21"/>
    <n v="15"/>
    <n v="31"/>
    <n v="19"/>
    <m/>
    <n v="21"/>
    <n v="24"/>
    <m/>
    <m/>
    <m/>
    <m/>
    <m/>
  </r>
  <r>
    <n v="797"/>
    <x v="91"/>
    <d v="2024-05-05T00:00:00"/>
    <n v="76"/>
    <x v="3"/>
    <x v="4"/>
    <n v="391"/>
    <x v="1"/>
    <n v="22"/>
    <n v="49"/>
    <n v="22"/>
    <n v="16"/>
    <n v="24"/>
    <n v="22"/>
    <n v="21"/>
    <m/>
    <n v="14"/>
    <n v="22"/>
    <m/>
    <m/>
    <m/>
    <m/>
    <m/>
  </r>
  <r>
    <n v="798"/>
    <x v="114"/>
    <d v="2024-05-09T00:00:00"/>
    <n v="57"/>
    <x v="1"/>
    <x v="0"/>
    <n v="493"/>
    <x v="1"/>
    <n v="23"/>
    <n v="21"/>
    <n v="14"/>
    <n v="23"/>
    <m/>
    <n v="47"/>
    <n v="15"/>
    <n v="18"/>
    <m/>
    <m/>
    <m/>
    <m/>
    <m/>
    <m/>
    <m/>
  </r>
  <r>
    <n v="799"/>
    <x v="57"/>
    <d v="2024-05-16T00:00:00"/>
    <n v="118"/>
    <x v="0"/>
    <x v="2"/>
    <n v="488"/>
    <x v="0"/>
    <n v="18"/>
    <n v="49"/>
    <n v="24"/>
    <n v="20"/>
    <n v="22"/>
    <m/>
    <m/>
    <m/>
    <m/>
    <m/>
    <m/>
    <m/>
    <m/>
    <m/>
    <m/>
  </r>
  <r>
    <n v="800"/>
    <x v="103"/>
    <d v="2024-05-24T00:00:00"/>
    <n v="100"/>
    <x v="3"/>
    <x v="1"/>
    <n v="159"/>
    <x v="2"/>
    <n v="24"/>
    <n v="21"/>
    <n v="16"/>
    <n v="17"/>
    <n v="18"/>
    <n v="47"/>
    <n v="15"/>
    <m/>
    <n v="20"/>
    <n v="15"/>
    <m/>
    <m/>
    <m/>
    <m/>
    <m/>
  </r>
  <r>
    <n v="801"/>
    <x v="14"/>
    <d v="2024-05-15T00:00:00"/>
    <n v="98"/>
    <x v="2"/>
    <x v="4"/>
    <n v="414"/>
    <x v="4"/>
    <m/>
    <m/>
    <m/>
    <m/>
    <m/>
    <m/>
    <n v="17"/>
    <m/>
    <n v="20"/>
    <n v="19"/>
    <n v="19"/>
    <n v="21"/>
    <n v="22"/>
    <m/>
    <m/>
  </r>
  <r>
    <n v="802"/>
    <x v="43"/>
    <d v="2024-05-06T00:00:00"/>
    <n v="55"/>
    <x v="4"/>
    <x v="0"/>
    <n v="176"/>
    <x v="0"/>
    <m/>
    <m/>
    <m/>
    <m/>
    <m/>
    <m/>
    <n v="17"/>
    <n v="21"/>
    <n v="14"/>
    <n v="21"/>
    <m/>
    <m/>
    <n v="14"/>
    <n v="16"/>
    <n v="24"/>
  </r>
  <r>
    <n v="803"/>
    <x v="112"/>
    <d v="2024-05-03T00:00:00"/>
    <n v="95"/>
    <x v="3"/>
    <x v="3"/>
    <n v="463"/>
    <x v="4"/>
    <n v="19"/>
    <n v="47"/>
    <n v="20"/>
    <n v="22"/>
    <n v="15"/>
    <n v="22"/>
    <n v="15"/>
    <m/>
    <n v="21"/>
    <n v="22"/>
    <m/>
    <m/>
    <m/>
    <m/>
    <m/>
  </r>
  <r>
    <n v="804"/>
    <x v="28"/>
    <d v="2024-05-07T00:00:00"/>
    <n v="11"/>
    <x v="2"/>
    <x v="0"/>
    <n v="202"/>
    <x v="0"/>
    <m/>
    <m/>
    <m/>
    <m/>
    <m/>
    <m/>
    <n v="17"/>
    <m/>
    <n v="22"/>
    <n v="17"/>
    <n v="19"/>
    <n v="24"/>
    <n v="17"/>
    <m/>
    <m/>
  </r>
  <r>
    <n v="805"/>
    <x v="30"/>
    <d v="2024-05-27T00:00:00"/>
    <n v="36"/>
    <x v="1"/>
    <x v="0"/>
    <n v="137"/>
    <x v="1"/>
    <n v="23"/>
    <n v="37"/>
    <n v="15"/>
    <n v="22"/>
    <m/>
    <n v="28"/>
    <n v="24"/>
    <n v="18"/>
    <m/>
    <m/>
    <m/>
    <m/>
    <m/>
    <m/>
    <m/>
  </r>
  <r>
    <n v="806"/>
    <x v="55"/>
    <d v="2024-05-01T00:00:00"/>
    <n v="28"/>
    <x v="4"/>
    <x v="3"/>
    <n v="85"/>
    <x v="0"/>
    <m/>
    <m/>
    <m/>
    <m/>
    <m/>
    <m/>
    <n v="16"/>
    <n v="21"/>
    <n v="16"/>
    <n v="19"/>
    <m/>
    <m/>
    <n v="21"/>
    <n v="18"/>
    <n v="23"/>
  </r>
  <r>
    <n v="807"/>
    <x v="102"/>
    <d v="2024-05-27T00:00:00"/>
    <n v="101"/>
    <x v="3"/>
    <x v="0"/>
    <n v="129"/>
    <x v="2"/>
    <n v="17"/>
    <n v="37"/>
    <n v="15"/>
    <n v="21"/>
    <n v="23"/>
    <n v="42"/>
    <n v="16"/>
    <m/>
    <n v="19"/>
    <n v="21"/>
    <m/>
    <m/>
    <m/>
    <m/>
    <m/>
  </r>
  <r>
    <n v="808"/>
    <x v="92"/>
    <d v="2024-05-14T00:00:00"/>
    <n v="103"/>
    <x v="4"/>
    <x v="0"/>
    <n v="306"/>
    <x v="4"/>
    <m/>
    <m/>
    <m/>
    <m/>
    <m/>
    <m/>
    <n v="20"/>
    <n v="20"/>
    <n v="19"/>
    <n v="14"/>
    <m/>
    <m/>
    <n v="24"/>
    <n v="21"/>
    <n v="20"/>
  </r>
  <r>
    <n v="809"/>
    <x v="13"/>
    <d v="2024-05-03T00:00:00"/>
    <n v="31"/>
    <x v="4"/>
    <x v="1"/>
    <n v="311"/>
    <x v="3"/>
    <m/>
    <m/>
    <m/>
    <m/>
    <m/>
    <m/>
    <n v="15"/>
    <n v="22"/>
    <n v="22"/>
    <n v="22"/>
    <m/>
    <m/>
    <n v="20"/>
    <n v="14"/>
    <n v="23"/>
  </r>
  <r>
    <n v="810"/>
    <x v="86"/>
    <d v="2024-05-07T00:00:00"/>
    <n v="118"/>
    <x v="1"/>
    <x v="0"/>
    <n v="69"/>
    <x v="4"/>
    <n v="18"/>
    <n v="41"/>
    <n v="20"/>
    <n v="23"/>
    <m/>
    <n v="22"/>
    <n v="15"/>
    <n v="17"/>
    <m/>
    <m/>
    <m/>
    <m/>
    <m/>
    <m/>
    <m/>
  </r>
  <r>
    <n v="811"/>
    <x v="66"/>
    <d v="2024-05-24T00:00:00"/>
    <n v="82"/>
    <x v="2"/>
    <x v="3"/>
    <n v="178"/>
    <x v="4"/>
    <m/>
    <m/>
    <m/>
    <m/>
    <m/>
    <m/>
    <n v="24"/>
    <m/>
    <n v="21"/>
    <n v="21"/>
    <n v="22"/>
    <n v="23"/>
    <n v="23"/>
    <m/>
    <m/>
  </r>
  <r>
    <n v="812"/>
    <x v="74"/>
    <d v="2024-05-22T00:00:00"/>
    <n v="108"/>
    <x v="0"/>
    <x v="1"/>
    <n v="71"/>
    <x v="1"/>
    <n v="20"/>
    <n v="31"/>
    <n v="15"/>
    <n v="21"/>
    <n v="20"/>
    <m/>
    <m/>
    <m/>
    <m/>
    <m/>
    <m/>
    <m/>
    <m/>
    <m/>
    <m/>
  </r>
  <r>
    <n v="813"/>
    <x v="52"/>
    <d v="2024-05-15T00:00:00"/>
    <n v="23"/>
    <x v="1"/>
    <x v="2"/>
    <n v="430"/>
    <x v="2"/>
    <n v="24"/>
    <n v="26"/>
    <n v="18"/>
    <n v="16"/>
    <m/>
    <n v="34"/>
    <n v="21"/>
    <n v="19"/>
    <m/>
    <m/>
    <m/>
    <m/>
    <m/>
    <m/>
    <m/>
  </r>
  <r>
    <n v="814"/>
    <x v="20"/>
    <d v="2024-05-10T00:00:00"/>
    <n v="22"/>
    <x v="2"/>
    <x v="3"/>
    <n v="432"/>
    <x v="2"/>
    <m/>
    <m/>
    <m/>
    <m/>
    <m/>
    <m/>
    <n v="15"/>
    <m/>
    <n v="23"/>
    <n v="19"/>
    <n v="21"/>
    <n v="16"/>
    <n v="15"/>
    <m/>
    <m/>
  </r>
  <r>
    <n v="815"/>
    <x v="84"/>
    <d v="2024-05-08T00:00:00"/>
    <n v="52"/>
    <x v="3"/>
    <x v="4"/>
    <n v="284"/>
    <x v="1"/>
    <n v="16"/>
    <n v="36"/>
    <n v="18"/>
    <n v="18"/>
    <n v="18"/>
    <n v="29"/>
    <n v="21"/>
    <m/>
    <n v="23"/>
    <n v="16"/>
    <m/>
    <m/>
    <m/>
    <m/>
    <m/>
  </r>
  <r>
    <n v="816"/>
    <x v="27"/>
    <d v="2024-05-17T00:00:00"/>
    <n v="129"/>
    <x v="4"/>
    <x v="0"/>
    <n v="499"/>
    <x v="4"/>
    <m/>
    <m/>
    <m/>
    <m/>
    <m/>
    <m/>
    <n v="14"/>
    <n v="18"/>
    <n v="14"/>
    <n v="15"/>
    <m/>
    <m/>
    <n v="16"/>
    <n v="21"/>
    <n v="18"/>
  </r>
  <r>
    <n v="817"/>
    <x v="75"/>
    <d v="2024-05-27T00:00:00"/>
    <n v="94"/>
    <x v="3"/>
    <x v="3"/>
    <n v="450"/>
    <x v="3"/>
    <n v="23"/>
    <n v="46"/>
    <n v="15"/>
    <n v="15"/>
    <n v="18"/>
    <n v="36"/>
    <n v="24"/>
    <m/>
    <n v="17"/>
    <n v="15"/>
    <m/>
    <m/>
    <m/>
    <m/>
    <m/>
  </r>
  <r>
    <n v="818"/>
    <x v="19"/>
    <d v="2024-05-23T00:00:00"/>
    <n v="45"/>
    <x v="0"/>
    <x v="4"/>
    <n v="312"/>
    <x v="2"/>
    <n v="24"/>
    <n v="40"/>
    <n v="22"/>
    <n v="16"/>
    <n v="23"/>
    <m/>
    <m/>
    <m/>
    <m/>
    <m/>
    <m/>
    <m/>
    <m/>
    <m/>
    <m/>
  </r>
  <r>
    <n v="819"/>
    <x v="58"/>
    <d v="2024-05-18T00:00:00"/>
    <n v="28"/>
    <x v="2"/>
    <x v="3"/>
    <n v="228"/>
    <x v="0"/>
    <m/>
    <m/>
    <m/>
    <m/>
    <m/>
    <m/>
    <n v="17"/>
    <m/>
    <n v="14"/>
    <n v="17"/>
    <n v="22"/>
    <n v="21"/>
    <n v="20"/>
    <m/>
    <m/>
  </r>
  <r>
    <n v="820"/>
    <x v="41"/>
    <d v="2024-05-28T00:00:00"/>
    <n v="97"/>
    <x v="2"/>
    <x v="0"/>
    <n v="266"/>
    <x v="2"/>
    <m/>
    <m/>
    <m/>
    <m/>
    <m/>
    <m/>
    <n v="18"/>
    <m/>
    <n v="18"/>
    <n v="16"/>
    <n v="20"/>
    <n v="20"/>
    <n v="17"/>
    <m/>
    <m/>
  </r>
  <r>
    <n v="821"/>
    <x v="45"/>
    <d v="2024-05-08T00:00:00"/>
    <n v="108"/>
    <x v="0"/>
    <x v="2"/>
    <n v="363"/>
    <x v="0"/>
    <n v="14"/>
    <n v="23"/>
    <n v="16"/>
    <n v="22"/>
    <n v="15"/>
    <m/>
    <m/>
    <m/>
    <m/>
    <m/>
    <m/>
    <m/>
    <m/>
    <m/>
    <m/>
  </r>
  <r>
    <n v="822"/>
    <x v="8"/>
    <d v="2024-05-23T00:00:00"/>
    <n v="60"/>
    <x v="4"/>
    <x v="2"/>
    <n v="151"/>
    <x v="4"/>
    <m/>
    <m/>
    <m/>
    <m/>
    <m/>
    <m/>
    <n v="19"/>
    <n v="20"/>
    <n v="24"/>
    <n v="16"/>
    <m/>
    <m/>
    <n v="15"/>
    <n v="17"/>
    <n v="18"/>
  </r>
  <r>
    <n v="823"/>
    <x v="1"/>
    <d v="2024-05-17T00:00:00"/>
    <n v="120"/>
    <x v="2"/>
    <x v="3"/>
    <n v="173"/>
    <x v="1"/>
    <m/>
    <m/>
    <m/>
    <m/>
    <m/>
    <m/>
    <n v="15"/>
    <m/>
    <n v="22"/>
    <n v="20"/>
    <n v="22"/>
    <n v="15"/>
    <n v="22"/>
    <m/>
    <m/>
  </r>
  <r>
    <n v="824"/>
    <x v="76"/>
    <d v="2024-05-08T00:00:00"/>
    <n v="74"/>
    <x v="0"/>
    <x v="2"/>
    <n v="380"/>
    <x v="3"/>
    <n v="17"/>
    <n v="22"/>
    <n v="22"/>
    <n v="24"/>
    <n v="17"/>
    <m/>
    <m/>
    <m/>
    <m/>
    <m/>
    <m/>
    <m/>
    <m/>
    <m/>
    <m/>
  </r>
  <r>
    <n v="825"/>
    <x v="51"/>
    <d v="2024-05-12T00:00:00"/>
    <n v="113"/>
    <x v="2"/>
    <x v="2"/>
    <n v="410"/>
    <x v="3"/>
    <m/>
    <m/>
    <m/>
    <m/>
    <m/>
    <m/>
    <n v="15"/>
    <m/>
    <n v="19"/>
    <n v="23"/>
    <n v="15"/>
    <n v="16"/>
    <n v="17"/>
    <m/>
    <m/>
  </r>
  <r>
    <n v="826"/>
    <x v="27"/>
    <d v="2024-05-25T00:00:00"/>
    <n v="137"/>
    <x v="0"/>
    <x v="1"/>
    <n v="227"/>
    <x v="0"/>
    <n v="18"/>
    <n v="25"/>
    <n v="20"/>
    <n v="15"/>
    <n v="14"/>
    <m/>
    <m/>
    <m/>
    <m/>
    <m/>
    <m/>
    <m/>
    <m/>
    <m/>
    <m/>
  </r>
  <r>
    <n v="827"/>
    <x v="34"/>
    <d v="2024-05-06T00:00:00"/>
    <n v="38"/>
    <x v="3"/>
    <x v="3"/>
    <n v="270"/>
    <x v="0"/>
    <n v="20"/>
    <n v="32"/>
    <n v="17"/>
    <n v="15"/>
    <n v="18"/>
    <n v="47"/>
    <n v="15"/>
    <m/>
    <n v="20"/>
    <n v="17"/>
    <m/>
    <m/>
    <m/>
    <m/>
    <m/>
  </r>
  <r>
    <n v="828"/>
    <x v="30"/>
    <d v="2024-05-02T00:00:00"/>
    <n v="11"/>
    <x v="4"/>
    <x v="1"/>
    <n v="127"/>
    <x v="4"/>
    <m/>
    <m/>
    <m/>
    <m/>
    <m/>
    <m/>
    <n v="23"/>
    <n v="23"/>
    <n v="24"/>
    <n v="22"/>
    <m/>
    <m/>
    <n v="16"/>
    <n v="17"/>
    <n v="24"/>
  </r>
  <r>
    <n v="829"/>
    <x v="91"/>
    <d v="2024-05-17T00:00:00"/>
    <n v="88"/>
    <x v="1"/>
    <x v="4"/>
    <n v="487"/>
    <x v="4"/>
    <n v="22"/>
    <n v="46"/>
    <n v="19"/>
    <n v="16"/>
    <m/>
    <n v="27"/>
    <n v="17"/>
    <n v="22"/>
    <m/>
    <m/>
    <m/>
    <m/>
    <m/>
    <m/>
    <m/>
  </r>
  <r>
    <n v="830"/>
    <x v="112"/>
    <d v="2024-05-05T00:00:00"/>
    <n v="97"/>
    <x v="3"/>
    <x v="3"/>
    <n v="74"/>
    <x v="0"/>
    <n v="14"/>
    <n v="22"/>
    <n v="18"/>
    <n v="21"/>
    <n v="14"/>
    <n v="38"/>
    <n v="22"/>
    <m/>
    <n v="22"/>
    <n v="18"/>
    <m/>
    <m/>
    <m/>
    <m/>
    <m/>
  </r>
  <r>
    <n v="831"/>
    <x v="4"/>
    <d v="2024-05-21T00:00:00"/>
    <n v="83"/>
    <x v="1"/>
    <x v="4"/>
    <n v="255"/>
    <x v="0"/>
    <n v="24"/>
    <n v="50"/>
    <n v="17"/>
    <n v="18"/>
    <m/>
    <n v="44"/>
    <n v="19"/>
    <n v="14"/>
    <m/>
    <m/>
    <m/>
    <m/>
    <m/>
    <m/>
    <m/>
  </r>
  <r>
    <n v="832"/>
    <x v="79"/>
    <d v="2024-05-10T00:00:00"/>
    <n v="30"/>
    <x v="0"/>
    <x v="0"/>
    <n v="344"/>
    <x v="2"/>
    <n v="22"/>
    <n v="33"/>
    <n v="20"/>
    <n v="16"/>
    <n v="24"/>
    <m/>
    <m/>
    <m/>
    <m/>
    <m/>
    <m/>
    <m/>
    <m/>
    <m/>
    <m/>
  </r>
  <r>
    <n v="833"/>
    <x v="44"/>
    <d v="2024-05-23T00:00:00"/>
    <n v="80"/>
    <x v="0"/>
    <x v="0"/>
    <n v="244"/>
    <x v="0"/>
    <n v="20"/>
    <n v="27"/>
    <n v="17"/>
    <n v="24"/>
    <n v="17"/>
    <m/>
    <m/>
    <m/>
    <m/>
    <m/>
    <m/>
    <m/>
    <m/>
    <m/>
    <m/>
  </r>
  <r>
    <n v="834"/>
    <x v="0"/>
    <d v="2024-05-21T00:00:00"/>
    <n v="130"/>
    <x v="3"/>
    <x v="2"/>
    <n v="239"/>
    <x v="2"/>
    <n v="20"/>
    <n v="32"/>
    <n v="17"/>
    <n v="18"/>
    <n v="20"/>
    <n v="48"/>
    <n v="19"/>
    <m/>
    <n v="16"/>
    <n v="21"/>
    <m/>
    <m/>
    <m/>
    <m/>
    <m/>
  </r>
  <r>
    <n v="835"/>
    <x v="0"/>
    <d v="2024-05-12T00:00:00"/>
    <n v="121"/>
    <x v="4"/>
    <x v="1"/>
    <n v="296"/>
    <x v="3"/>
    <m/>
    <m/>
    <m/>
    <m/>
    <m/>
    <m/>
    <n v="17"/>
    <n v="14"/>
    <n v="23"/>
    <n v="17"/>
    <m/>
    <m/>
    <n v="23"/>
    <n v="20"/>
    <n v="16"/>
  </r>
  <r>
    <n v="836"/>
    <x v="95"/>
    <d v="2024-05-03T00:00:00"/>
    <n v="80"/>
    <x v="4"/>
    <x v="4"/>
    <n v="156"/>
    <x v="0"/>
    <m/>
    <m/>
    <m/>
    <m/>
    <m/>
    <m/>
    <n v="16"/>
    <n v="22"/>
    <n v="24"/>
    <n v="19"/>
    <m/>
    <m/>
    <n v="22"/>
    <n v="24"/>
    <n v="23"/>
  </r>
  <r>
    <n v="837"/>
    <x v="56"/>
    <d v="2024-05-14T00:00:00"/>
    <n v="73"/>
    <x v="0"/>
    <x v="1"/>
    <n v="492"/>
    <x v="4"/>
    <n v="19"/>
    <n v="42"/>
    <n v="22"/>
    <n v="16"/>
    <n v="22"/>
    <m/>
    <m/>
    <m/>
    <m/>
    <m/>
    <m/>
    <m/>
    <m/>
    <m/>
    <m/>
  </r>
  <r>
    <n v="838"/>
    <x v="58"/>
    <d v="2024-05-11T00:00:00"/>
    <n v="21"/>
    <x v="4"/>
    <x v="3"/>
    <n v="430"/>
    <x v="1"/>
    <m/>
    <m/>
    <m/>
    <m/>
    <m/>
    <m/>
    <n v="19"/>
    <n v="19"/>
    <n v="14"/>
    <n v="20"/>
    <m/>
    <m/>
    <n v="20"/>
    <n v="23"/>
    <n v="16"/>
  </r>
  <r>
    <n v="839"/>
    <x v="110"/>
    <d v="2024-05-26T00:00:00"/>
    <n v="134"/>
    <x v="4"/>
    <x v="4"/>
    <n v="292"/>
    <x v="0"/>
    <m/>
    <m/>
    <m/>
    <m/>
    <m/>
    <m/>
    <n v="22"/>
    <n v="14"/>
    <n v="14"/>
    <n v="23"/>
    <m/>
    <m/>
    <n v="16"/>
    <n v="21"/>
    <n v="17"/>
  </r>
  <r>
    <n v="840"/>
    <x v="5"/>
    <d v="2024-05-14T00:00:00"/>
    <n v="49"/>
    <x v="1"/>
    <x v="3"/>
    <n v="317"/>
    <x v="1"/>
    <n v="17"/>
    <n v="20"/>
    <n v="21"/>
    <n v="20"/>
    <m/>
    <n v="31"/>
    <n v="24"/>
    <n v="22"/>
    <m/>
    <m/>
    <m/>
    <m/>
    <m/>
    <m/>
    <m/>
  </r>
  <r>
    <n v="841"/>
    <x v="69"/>
    <d v="2024-05-09T00:00:00"/>
    <n v="49"/>
    <x v="3"/>
    <x v="3"/>
    <n v="165"/>
    <x v="3"/>
    <n v="23"/>
    <n v="49"/>
    <n v="19"/>
    <n v="16"/>
    <n v="15"/>
    <n v="47"/>
    <n v="22"/>
    <m/>
    <n v="23"/>
    <n v="16"/>
    <m/>
    <m/>
    <m/>
    <m/>
    <m/>
  </r>
  <r>
    <n v="842"/>
    <x v="64"/>
    <d v="2024-05-20T00:00:00"/>
    <n v="26"/>
    <x v="0"/>
    <x v="3"/>
    <n v="343"/>
    <x v="3"/>
    <n v="19"/>
    <n v="34"/>
    <n v="22"/>
    <n v="24"/>
    <n v="17"/>
    <m/>
    <m/>
    <m/>
    <m/>
    <m/>
    <m/>
    <m/>
    <m/>
    <m/>
    <m/>
  </r>
  <r>
    <n v="843"/>
    <x v="61"/>
    <d v="2024-05-03T00:00:00"/>
    <n v="78"/>
    <x v="1"/>
    <x v="1"/>
    <n v="466"/>
    <x v="3"/>
    <n v="21"/>
    <n v="45"/>
    <n v="20"/>
    <n v="17"/>
    <m/>
    <n v="38"/>
    <n v="19"/>
    <n v="17"/>
    <m/>
    <m/>
    <m/>
    <m/>
    <m/>
    <m/>
    <m/>
  </r>
  <r>
    <n v="844"/>
    <x v="106"/>
    <d v="2024-05-04T00:00:00"/>
    <n v="38"/>
    <x v="0"/>
    <x v="1"/>
    <n v="263"/>
    <x v="2"/>
    <n v="15"/>
    <n v="45"/>
    <n v="19"/>
    <n v="15"/>
    <n v="17"/>
    <m/>
    <m/>
    <m/>
    <m/>
    <m/>
    <m/>
    <m/>
    <m/>
    <m/>
    <m/>
  </r>
  <r>
    <n v="845"/>
    <x v="1"/>
    <d v="2024-05-18T00:00:00"/>
    <n v="121"/>
    <x v="3"/>
    <x v="2"/>
    <n v="65"/>
    <x v="3"/>
    <n v="24"/>
    <n v="20"/>
    <n v="17"/>
    <n v="20"/>
    <n v="22"/>
    <n v="33"/>
    <n v="20"/>
    <m/>
    <n v="17"/>
    <n v="18"/>
    <m/>
    <m/>
    <m/>
    <m/>
    <m/>
  </r>
  <r>
    <n v="846"/>
    <x v="108"/>
    <d v="2024-05-22T00:00:00"/>
    <n v="48"/>
    <x v="2"/>
    <x v="3"/>
    <n v="454"/>
    <x v="3"/>
    <m/>
    <m/>
    <m/>
    <m/>
    <m/>
    <m/>
    <n v="22"/>
    <m/>
    <n v="24"/>
    <n v="21"/>
    <n v="15"/>
    <n v="14"/>
    <n v="15"/>
    <m/>
    <m/>
  </r>
  <r>
    <n v="847"/>
    <x v="65"/>
    <d v="2024-05-13T00:00:00"/>
    <n v="49"/>
    <x v="0"/>
    <x v="2"/>
    <n v="368"/>
    <x v="2"/>
    <n v="22"/>
    <n v="41"/>
    <n v="22"/>
    <n v="19"/>
    <n v="20"/>
    <m/>
    <m/>
    <m/>
    <m/>
    <m/>
    <m/>
    <m/>
    <m/>
    <m/>
    <m/>
  </r>
  <r>
    <n v="848"/>
    <x v="20"/>
    <d v="2024-05-04T00:00:00"/>
    <n v="16"/>
    <x v="1"/>
    <x v="2"/>
    <n v="372"/>
    <x v="0"/>
    <n v="18"/>
    <n v="33"/>
    <n v="23"/>
    <n v="21"/>
    <m/>
    <n v="31"/>
    <n v="23"/>
    <n v="24"/>
    <m/>
    <m/>
    <m/>
    <m/>
    <m/>
    <m/>
    <m/>
  </r>
  <r>
    <n v="849"/>
    <x v="8"/>
    <d v="2024-05-21T00:00:00"/>
    <n v="58"/>
    <x v="0"/>
    <x v="4"/>
    <n v="375"/>
    <x v="2"/>
    <n v="24"/>
    <n v="38"/>
    <n v="15"/>
    <n v="20"/>
    <n v="19"/>
    <m/>
    <m/>
    <m/>
    <m/>
    <m/>
    <m/>
    <m/>
    <m/>
    <m/>
    <m/>
  </r>
  <r>
    <n v="850"/>
    <x v="47"/>
    <d v="2024-05-09T00:00:00"/>
    <n v="52"/>
    <x v="2"/>
    <x v="1"/>
    <n v="321"/>
    <x v="4"/>
    <m/>
    <m/>
    <m/>
    <m/>
    <m/>
    <m/>
    <n v="22"/>
    <m/>
    <n v="16"/>
    <n v="24"/>
    <n v="18"/>
    <n v="19"/>
    <n v="20"/>
    <m/>
    <m/>
  </r>
  <r>
    <n v="851"/>
    <x v="29"/>
    <d v="2024-05-13T00:00:00"/>
    <n v="85"/>
    <x v="1"/>
    <x v="3"/>
    <n v="187"/>
    <x v="1"/>
    <n v="14"/>
    <n v="36"/>
    <n v="19"/>
    <n v="18"/>
    <m/>
    <n v="39"/>
    <n v="18"/>
    <n v="23"/>
    <m/>
    <m/>
    <m/>
    <m/>
    <m/>
    <m/>
    <m/>
  </r>
  <r>
    <n v="852"/>
    <x v="32"/>
    <d v="2024-05-13T00:00:00"/>
    <n v="54"/>
    <x v="1"/>
    <x v="3"/>
    <n v="61"/>
    <x v="3"/>
    <n v="15"/>
    <n v="37"/>
    <n v="17"/>
    <n v="23"/>
    <m/>
    <n v="32"/>
    <n v="24"/>
    <n v="21"/>
    <m/>
    <m/>
    <m/>
    <m/>
    <m/>
    <m/>
    <m/>
  </r>
  <r>
    <n v="853"/>
    <x v="95"/>
    <d v="2024-05-20T00:00:00"/>
    <n v="97"/>
    <x v="4"/>
    <x v="3"/>
    <n v="344"/>
    <x v="4"/>
    <m/>
    <m/>
    <m/>
    <m/>
    <m/>
    <m/>
    <n v="19"/>
    <n v="22"/>
    <n v="14"/>
    <n v="17"/>
    <m/>
    <m/>
    <n v="22"/>
    <n v="17"/>
    <n v="23"/>
  </r>
  <r>
    <n v="854"/>
    <x v="65"/>
    <d v="2024-05-28T00:00:00"/>
    <n v="64"/>
    <x v="3"/>
    <x v="2"/>
    <n v="480"/>
    <x v="4"/>
    <n v="19"/>
    <n v="32"/>
    <n v="17"/>
    <n v="22"/>
    <n v="15"/>
    <n v="39"/>
    <n v="20"/>
    <m/>
    <n v="21"/>
    <n v="20"/>
    <m/>
    <m/>
    <m/>
    <m/>
    <m/>
  </r>
  <r>
    <n v="855"/>
    <x v="72"/>
    <d v="2024-05-09T00:00:00"/>
    <n v="70"/>
    <x v="2"/>
    <x v="4"/>
    <n v="451"/>
    <x v="0"/>
    <m/>
    <m/>
    <m/>
    <m/>
    <m/>
    <m/>
    <n v="24"/>
    <m/>
    <n v="14"/>
    <n v="21"/>
    <n v="23"/>
    <n v="17"/>
    <n v="21"/>
    <m/>
    <m/>
  </r>
  <r>
    <n v="856"/>
    <x v="47"/>
    <d v="2024-05-13T00:00:00"/>
    <n v="56"/>
    <x v="3"/>
    <x v="2"/>
    <n v="271"/>
    <x v="0"/>
    <n v="19"/>
    <n v="29"/>
    <n v="16"/>
    <n v="24"/>
    <n v="17"/>
    <n v="21"/>
    <n v="18"/>
    <m/>
    <n v="23"/>
    <n v="17"/>
    <m/>
    <m/>
    <m/>
    <m/>
    <m/>
  </r>
  <r>
    <n v="857"/>
    <x v="90"/>
    <d v="2024-05-05T00:00:00"/>
    <n v="83"/>
    <x v="3"/>
    <x v="0"/>
    <n v="328"/>
    <x v="1"/>
    <n v="19"/>
    <n v="37"/>
    <n v="17"/>
    <n v="15"/>
    <n v="16"/>
    <n v="20"/>
    <n v="16"/>
    <m/>
    <n v="16"/>
    <n v="16"/>
    <m/>
    <m/>
    <m/>
    <m/>
    <m/>
  </r>
  <r>
    <n v="858"/>
    <x v="78"/>
    <d v="2024-05-28T00:00:00"/>
    <n v="33"/>
    <x v="4"/>
    <x v="0"/>
    <n v="91"/>
    <x v="2"/>
    <m/>
    <m/>
    <m/>
    <m/>
    <m/>
    <m/>
    <n v="19"/>
    <n v="15"/>
    <n v="19"/>
    <n v="22"/>
    <m/>
    <m/>
    <n v="15"/>
    <n v="20"/>
    <n v="18"/>
  </r>
  <r>
    <n v="859"/>
    <x v="94"/>
    <d v="2024-05-17T00:00:00"/>
    <n v="62"/>
    <x v="3"/>
    <x v="2"/>
    <n v="102"/>
    <x v="2"/>
    <n v="23"/>
    <n v="46"/>
    <n v="19"/>
    <n v="20"/>
    <n v="17"/>
    <n v="43"/>
    <n v="16"/>
    <m/>
    <n v="16"/>
    <n v="15"/>
    <m/>
    <m/>
    <m/>
    <m/>
    <m/>
  </r>
  <r>
    <n v="860"/>
    <x v="58"/>
    <d v="2024-05-02T00:00:00"/>
    <n v="12"/>
    <x v="4"/>
    <x v="3"/>
    <n v="323"/>
    <x v="2"/>
    <m/>
    <m/>
    <m/>
    <m/>
    <m/>
    <m/>
    <n v="23"/>
    <n v="19"/>
    <n v="19"/>
    <n v="21"/>
    <m/>
    <m/>
    <n v="18"/>
    <n v="20"/>
    <n v="15"/>
  </r>
  <r>
    <n v="861"/>
    <x v="100"/>
    <d v="2024-04-29T00:00:00"/>
    <n v="67"/>
    <x v="2"/>
    <x v="2"/>
    <n v="427"/>
    <x v="3"/>
    <m/>
    <m/>
    <m/>
    <m/>
    <m/>
    <m/>
    <n v="15"/>
    <m/>
    <n v="19"/>
    <n v="22"/>
    <n v="16"/>
    <n v="17"/>
    <n v="22"/>
    <m/>
    <m/>
  </r>
  <r>
    <n v="862"/>
    <x v="91"/>
    <d v="2024-05-27T00:00:00"/>
    <n v="98"/>
    <x v="4"/>
    <x v="4"/>
    <n v="289"/>
    <x v="0"/>
    <m/>
    <m/>
    <m/>
    <m/>
    <m/>
    <m/>
    <n v="22"/>
    <n v="16"/>
    <n v="18"/>
    <n v="17"/>
    <m/>
    <m/>
    <n v="15"/>
    <n v="23"/>
    <n v="21"/>
  </r>
  <r>
    <n v="863"/>
    <x v="76"/>
    <d v="2024-05-21T00:00:00"/>
    <n v="87"/>
    <x v="1"/>
    <x v="3"/>
    <n v="208"/>
    <x v="3"/>
    <n v="14"/>
    <n v="29"/>
    <n v="15"/>
    <n v="24"/>
    <m/>
    <n v="46"/>
    <n v="14"/>
    <n v="17"/>
    <m/>
    <m/>
    <m/>
    <m/>
    <m/>
    <m/>
    <m/>
  </r>
  <r>
    <n v="864"/>
    <x v="99"/>
    <d v="2024-05-12T00:00:00"/>
    <n v="132"/>
    <x v="2"/>
    <x v="1"/>
    <n v="299"/>
    <x v="0"/>
    <m/>
    <m/>
    <m/>
    <m/>
    <m/>
    <m/>
    <n v="18"/>
    <m/>
    <n v="15"/>
    <n v="19"/>
    <n v="16"/>
    <n v="14"/>
    <n v="20"/>
    <m/>
    <m/>
  </r>
  <r>
    <n v="865"/>
    <x v="62"/>
    <d v="2024-05-12T00:00:00"/>
    <n v="35"/>
    <x v="0"/>
    <x v="2"/>
    <n v="265"/>
    <x v="0"/>
    <n v="21"/>
    <n v="31"/>
    <n v="24"/>
    <n v="22"/>
    <n v="17"/>
    <m/>
    <m/>
    <m/>
    <m/>
    <m/>
    <m/>
    <m/>
    <m/>
    <m/>
    <m/>
  </r>
  <r>
    <n v="866"/>
    <x v="20"/>
    <d v="2024-05-08T00:00:00"/>
    <n v="20"/>
    <x v="3"/>
    <x v="4"/>
    <n v="415"/>
    <x v="4"/>
    <n v="18"/>
    <n v="46"/>
    <n v="18"/>
    <n v="16"/>
    <n v="15"/>
    <n v="23"/>
    <n v="22"/>
    <m/>
    <n v="16"/>
    <n v="18"/>
    <m/>
    <m/>
    <m/>
    <m/>
    <m/>
  </r>
  <r>
    <n v="867"/>
    <x v="104"/>
    <d v="2024-04-30T00:00:00"/>
    <n v="30"/>
    <x v="1"/>
    <x v="1"/>
    <n v="274"/>
    <x v="2"/>
    <n v="22"/>
    <n v="41"/>
    <n v="24"/>
    <n v="16"/>
    <m/>
    <n v="43"/>
    <n v="21"/>
    <n v="21"/>
    <m/>
    <m/>
    <m/>
    <m/>
    <m/>
    <m/>
    <m/>
  </r>
  <r>
    <n v="868"/>
    <x v="16"/>
    <d v="2024-05-13T00:00:00"/>
    <n v="51"/>
    <x v="3"/>
    <x v="2"/>
    <n v="433"/>
    <x v="3"/>
    <n v="19"/>
    <n v="20"/>
    <n v="14"/>
    <n v="14"/>
    <n v="22"/>
    <n v="33"/>
    <n v="23"/>
    <m/>
    <n v="24"/>
    <n v="20"/>
    <m/>
    <m/>
    <m/>
    <m/>
    <m/>
  </r>
  <r>
    <n v="869"/>
    <x v="14"/>
    <d v="2024-04-30T00:00:00"/>
    <n v="83"/>
    <x v="3"/>
    <x v="3"/>
    <n v="202"/>
    <x v="3"/>
    <n v="14"/>
    <n v="26"/>
    <n v="20"/>
    <n v="24"/>
    <n v="22"/>
    <n v="29"/>
    <n v="22"/>
    <m/>
    <n v="15"/>
    <n v="22"/>
    <m/>
    <m/>
    <m/>
    <m/>
    <m/>
  </r>
  <r>
    <n v="870"/>
    <x v="41"/>
    <d v="2024-05-09T00:00:00"/>
    <n v="78"/>
    <x v="3"/>
    <x v="0"/>
    <n v="462"/>
    <x v="3"/>
    <n v="23"/>
    <n v="23"/>
    <n v="17"/>
    <n v="24"/>
    <n v="17"/>
    <n v="44"/>
    <n v="24"/>
    <m/>
    <n v="14"/>
    <n v="21"/>
    <m/>
    <m/>
    <m/>
    <m/>
    <m/>
  </r>
  <r>
    <n v="871"/>
    <x v="60"/>
    <d v="2024-05-01T00:00:00"/>
    <n v="15"/>
    <x v="1"/>
    <x v="3"/>
    <n v="286"/>
    <x v="0"/>
    <n v="14"/>
    <n v="37"/>
    <n v="23"/>
    <n v="20"/>
    <m/>
    <n v="46"/>
    <n v="16"/>
    <n v="17"/>
    <m/>
    <m/>
    <m/>
    <m/>
    <m/>
    <m/>
    <m/>
  </r>
  <r>
    <n v="872"/>
    <x v="19"/>
    <d v="2024-05-04T00:00:00"/>
    <n v="26"/>
    <x v="4"/>
    <x v="0"/>
    <n v="384"/>
    <x v="1"/>
    <m/>
    <m/>
    <m/>
    <m/>
    <m/>
    <m/>
    <n v="19"/>
    <n v="21"/>
    <n v="17"/>
    <n v="23"/>
    <m/>
    <m/>
    <n v="23"/>
    <n v="22"/>
    <n v="23"/>
  </r>
  <r>
    <n v="873"/>
    <x v="92"/>
    <d v="2024-05-15T00:00:00"/>
    <n v="104"/>
    <x v="2"/>
    <x v="0"/>
    <n v="482"/>
    <x v="1"/>
    <m/>
    <m/>
    <m/>
    <m/>
    <m/>
    <m/>
    <n v="22"/>
    <m/>
    <n v="17"/>
    <n v="21"/>
    <n v="20"/>
    <n v="14"/>
    <n v="19"/>
    <m/>
    <m/>
  </r>
  <r>
    <n v="874"/>
    <x v="49"/>
    <d v="2024-05-13T00:00:00"/>
    <n v="100"/>
    <x v="3"/>
    <x v="1"/>
    <n v="292"/>
    <x v="1"/>
    <n v="17"/>
    <n v="21"/>
    <n v="22"/>
    <n v="22"/>
    <n v="24"/>
    <n v="49"/>
    <n v="14"/>
    <m/>
    <n v="18"/>
    <n v="23"/>
    <m/>
    <m/>
    <m/>
    <m/>
    <m/>
  </r>
  <r>
    <n v="875"/>
    <x v="36"/>
    <d v="2024-05-14T00:00:00"/>
    <n v="127"/>
    <x v="2"/>
    <x v="1"/>
    <n v="177"/>
    <x v="2"/>
    <m/>
    <m/>
    <m/>
    <m/>
    <m/>
    <m/>
    <n v="20"/>
    <m/>
    <n v="21"/>
    <n v="18"/>
    <n v="14"/>
    <n v="17"/>
    <n v="15"/>
    <m/>
    <m/>
  </r>
  <r>
    <n v="876"/>
    <x v="52"/>
    <d v="2024-05-10T00:00:00"/>
    <n v="18"/>
    <x v="0"/>
    <x v="0"/>
    <n v="202"/>
    <x v="2"/>
    <n v="24"/>
    <n v="39"/>
    <n v="19"/>
    <n v="14"/>
    <n v="18"/>
    <m/>
    <m/>
    <m/>
    <m/>
    <m/>
    <m/>
    <m/>
    <m/>
    <m/>
    <m/>
  </r>
  <r>
    <n v="877"/>
    <x v="108"/>
    <d v="2024-05-15T00:00:00"/>
    <n v="41"/>
    <x v="0"/>
    <x v="1"/>
    <n v="333"/>
    <x v="0"/>
    <n v="22"/>
    <n v="26"/>
    <n v="20"/>
    <n v="24"/>
    <n v="19"/>
    <m/>
    <m/>
    <m/>
    <m/>
    <m/>
    <m/>
    <m/>
    <m/>
    <m/>
    <m/>
  </r>
  <r>
    <n v="878"/>
    <x v="69"/>
    <d v="2024-05-20T00:00:00"/>
    <n v="60"/>
    <x v="2"/>
    <x v="4"/>
    <n v="80"/>
    <x v="0"/>
    <m/>
    <m/>
    <m/>
    <m/>
    <m/>
    <m/>
    <n v="18"/>
    <m/>
    <n v="23"/>
    <n v="16"/>
    <n v="24"/>
    <n v="19"/>
    <n v="18"/>
    <m/>
    <m/>
  </r>
  <r>
    <n v="879"/>
    <x v="3"/>
    <d v="2024-04-29T00:00:00"/>
    <n v="15"/>
    <x v="0"/>
    <x v="1"/>
    <n v="466"/>
    <x v="1"/>
    <n v="23"/>
    <n v="46"/>
    <n v="23"/>
    <n v="17"/>
    <n v="20"/>
    <m/>
    <m/>
    <m/>
    <m/>
    <m/>
    <m/>
    <m/>
    <m/>
    <m/>
    <m/>
  </r>
  <r>
    <n v="880"/>
    <x v="79"/>
    <d v="2024-05-20T00:00:00"/>
    <n v="40"/>
    <x v="4"/>
    <x v="4"/>
    <n v="153"/>
    <x v="3"/>
    <m/>
    <m/>
    <m/>
    <m/>
    <m/>
    <m/>
    <n v="16"/>
    <n v="21"/>
    <n v="22"/>
    <n v="20"/>
    <m/>
    <m/>
    <n v="23"/>
    <n v="22"/>
    <n v="24"/>
  </r>
  <r>
    <n v="881"/>
    <x v="12"/>
    <d v="2024-05-06T00:00:00"/>
    <n v="123"/>
    <x v="0"/>
    <x v="3"/>
    <n v="440"/>
    <x v="0"/>
    <n v="23"/>
    <n v="32"/>
    <n v="20"/>
    <n v="14"/>
    <n v="22"/>
    <m/>
    <m/>
    <m/>
    <m/>
    <m/>
    <m/>
    <m/>
    <m/>
    <m/>
    <m/>
  </r>
  <r>
    <n v="882"/>
    <x v="13"/>
    <d v="2024-05-23T00:00:00"/>
    <n v="51"/>
    <x v="3"/>
    <x v="1"/>
    <n v="337"/>
    <x v="1"/>
    <n v="14"/>
    <n v="41"/>
    <n v="21"/>
    <n v="21"/>
    <n v="22"/>
    <n v="21"/>
    <n v="15"/>
    <m/>
    <n v="20"/>
    <n v="21"/>
    <m/>
    <m/>
    <m/>
    <m/>
    <m/>
  </r>
  <r>
    <n v="883"/>
    <x v="68"/>
    <d v="2024-05-14T00:00:00"/>
    <n v="77"/>
    <x v="4"/>
    <x v="3"/>
    <n v="350"/>
    <x v="1"/>
    <m/>
    <m/>
    <m/>
    <m/>
    <m/>
    <m/>
    <n v="14"/>
    <n v="18"/>
    <n v="18"/>
    <n v="18"/>
    <m/>
    <m/>
    <n v="24"/>
    <n v="17"/>
    <n v="17"/>
  </r>
  <r>
    <n v="884"/>
    <x v="56"/>
    <d v="2024-05-18T00:00:00"/>
    <n v="77"/>
    <x v="4"/>
    <x v="1"/>
    <n v="401"/>
    <x v="0"/>
    <m/>
    <m/>
    <m/>
    <m/>
    <m/>
    <m/>
    <n v="23"/>
    <n v="22"/>
    <n v="24"/>
    <n v="16"/>
    <m/>
    <m/>
    <n v="22"/>
    <n v="21"/>
    <n v="19"/>
  </r>
  <r>
    <n v="885"/>
    <x v="109"/>
    <d v="2024-05-08T00:00:00"/>
    <n v="99"/>
    <x v="4"/>
    <x v="4"/>
    <n v="226"/>
    <x v="2"/>
    <m/>
    <m/>
    <m/>
    <m/>
    <m/>
    <m/>
    <n v="18"/>
    <n v="17"/>
    <n v="16"/>
    <n v="19"/>
    <m/>
    <m/>
    <n v="16"/>
    <n v="21"/>
    <n v="23"/>
  </r>
  <r>
    <n v="886"/>
    <x v="69"/>
    <d v="2024-05-14T00:00:00"/>
    <n v="54"/>
    <x v="3"/>
    <x v="4"/>
    <n v="149"/>
    <x v="2"/>
    <n v="24"/>
    <n v="34"/>
    <n v="14"/>
    <n v="24"/>
    <n v="21"/>
    <n v="31"/>
    <n v="22"/>
    <m/>
    <n v="23"/>
    <n v="14"/>
    <m/>
    <m/>
    <m/>
    <m/>
    <m/>
  </r>
  <r>
    <n v="887"/>
    <x v="66"/>
    <d v="2024-05-09T00:00:00"/>
    <n v="67"/>
    <x v="2"/>
    <x v="0"/>
    <n v="150"/>
    <x v="1"/>
    <m/>
    <m/>
    <m/>
    <m/>
    <m/>
    <m/>
    <n v="14"/>
    <m/>
    <n v="17"/>
    <n v="15"/>
    <n v="21"/>
    <n v="18"/>
    <n v="16"/>
    <m/>
    <m/>
  </r>
  <r>
    <n v="888"/>
    <x v="95"/>
    <d v="2024-04-30T00:00:00"/>
    <n v="77"/>
    <x v="1"/>
    <x v="3"/>
    <n v="180"/>
    <x v="3"/>
    <n v="18"/>
    <n v="25"/>
    <n v="23"/>
    <n v="18"/>
    <m/>
    <n v="21"/>
    <n v="17"/>
    <n v="22"/>
    <m/>
    <m/>
    <m/>
    <m/>
    <m/>
    <m/>
    <m/>
  </r>
  <r>
    <n v="889"/>
    <x v="52"/>
    <d v="2024-05-18T00:00:00"/>
    <n v="26"/>
    <x v="0"/>
    <x v="1"/>
    <n v="418"/>
    <x v="3"/>
    <n v="22"/>
    <n v="47"/>
    <n v="21"/>
    <n v="23"/>
    <n v="24"/>
    <m/>
    <m/>
    <m/>
    <m/>
    <m/>
    <m/>
    <m/>
    <m/>
    <m/>
    <m/>
  </r>
  <r>
    <n v="890"/>
    <x v="50"/>
    <d v="2024-05-15T00:00:00"/>
    <n v="125"/>
    <x v="4"/>
    <x v="1"/>
    <n v="329"/>
    <x v="0"/>
    <m/>
    <m/>
    <m/>
    <m/>
    <m/>
    <m/>
    <n v="24"/>
    <n v="20"/>
    <n v="24"/>
    <n v="23"/>
    <m/>
    <m/>
    <n v="14"/>
    <n v="17"/>
    <n v="18"/>
  </r>
  <r>
    <n v="891"/>
    <x v="104"/>
    <d v="2024-05-06T00:00:00"/>
    <n v="36"/>
    <x v="3"/>
    <x v="2"/>
    <n v="251"/>
    <x v="0"/>
    <n v="15"/>
    <n v="21"/>
    <n v="19"/>
    <n v="15"/>
    <n v="18"/>
    <n v="29"/>
    <n v="16"/>
    <m/>
    <n v="24"/>
    <n v="22"/>
    <m/>
    <m/>
    <m/>
    <m/>
    <m/>
  </r>
  <r>
    <n v="892"/>
    <x v="12"/>
    <d v="2024-05-13T00:00:00"/>
    <n v="130"/>
    <x v="1"/>
    <x v="2"/>
    <n v="51"/>
    <x v="1"/>
    <n v="17"/>
    <n v="28"/>
    <n v="18"/>
    <n v="16"/>
    <m/>
    <n v="50"/>
    <n v="16"/>
    <n v="15"/>
    <m/>
    <m/>
    <m/>
    <m/>
    <m/>
    <m/>
    <m/>
  </r>
  <r>
    <n v="893"/>
    <x v="3"/>
    <d v="2024-05-07T00:00:00"/>
    <n v="23"/>
    <x v="4"/>
    <x v="3"/>
    <n v="61"/>
    <x v="2"/>
    <m/>
    <m/>
    <m/>
    <m/>
    <m/>
    <m/>
    <n v="15"/>
    <n v="21"/>
    <n v="23"/>
    <n v="15"/>
    <m/>
    <m/>
    <n v="15"/>
    <n v="20"/>
    <n v="23"/>
  </r>
  <r>
    <n v="894"/>
    <x v="75"/>
    <d v="2024-05-18T00:00:00"/>
    <n v="85"/>
    <x v="1"/>
    <x v="0"/>
    <n v="406"/>
    <x v="1"/>
    <n v="24"/>
    <n v="25"/>
    <n v="21"/>
    <n v="23"/>
    <m/>
    <n v="30"/>
    <n v="17"/>
    <n v="21"/>
    <m/>
    <m/>
    <m/>
    <m/>
    <m/>
    <m/>
    <m/>
  </r>
  <r>
    <n v="895"/>
    <x v="70"/>
    <d v="2024-05-26T00:00:00"/>
    <n v="111"/>
    <x v="1"/>
    <x v="4"/>
    <n v="333"/>
    <x v="1"/>
    <n v="19"/>
    <n v="25"/>
    <n v="14"/>
    <n v="14"/>
    <m/>
    <n v="22"/>
    <n v="15"/>
    <n v="17"/>
    <m/>
    <m/>
    <m/>
    <m/>
    <m/>
    <m/>
    <m/>
  </r>
  <r>
    <n v="896"/>
    <x v="42"/>
    <d v="2024-05-16T00:00:00"/>
    <n v="104"/>
    <x v="0"/>
    <x v="3"/>
    <n v="224"/>
    <x v="4"/>
    <n v="17"/>
    <n v="32"/>
    <n v="17"/>
    <n v="17"/>
    <n v="15"/>
    <m/>
    <m/>
    <m/>
    <m/>
    <m/>
    <m/>
    <m/>
    <m/>
    <m/>
    <m/>
  </r>
  <r>
    <n v="897"/>
    <x v="108"/>
    <d v="2024-05-14T00:00:00"/>
    <n v="40"/>
    <x v="1"/>
    <x v="3"/>
    <n v="299"/>
    <x v="1"/>
    <n v="16"/>
    <n v="33"/>
    <n v="21"/>
    <n v="15"/>
    <m/>
    <n v="37"/>
    <n v="21"/>
    <n v="23"/>
    <m/>
    <m/>
    <m/>
    <m/>
    <m/>
    <m/>
    <m/>
  </r>
  <r>
    <n v="898"/>
    <x v="57"/>
    <d v="2024-05-08T00:00:00"/>
    <n v="110"/>
    <x v="2"/>
    <x v="4"/>
    <n v="174"/>
    <x v="3"/>
    <m/>
    <m/>
    <m/>
    <m/>
    <m/>
    <m/>
    <n v="22"/>
    <m/>
    <n v="18"/>
    <n v="18"/>
    <n v="23"/>
    <n v="23"/>
    <n v="14"/>
    <m/>
    <m/>
  </r>
  <r>
    <n v="899"/>
    <x v="98"/>
    <d v="2024-05-26T00:00:00"/>
    <n v="96"/>
    <x v="2"/>
    <x v="3"/>
    <n v="259"/>
    <x v="1"/>
    <m/>
    <m/>
    <m/>
    <m/>
    <m/>
    <m/>
    <n v="23"/>
    <m/>
    <n v="16"/>
    <n v="21"/>
    <n v="22"/>
    <n v="19"/>
    <n v="20"/>
    <m/>
    <m/>
  </r>
  <r>
    <n v="900"/>
    <x v="14"/>
    <d v="2024-04-30T00:00:00"/>
    <n v="83"/>
    <x v="0"/>
    <x v="3"/>
    <n v="194"/>
    <x v="0"/>
    <n v="19"/>
    <n v="42"/>
    <n v="18"/>
    <n v="23"/>
    <n v="23"/>
    <m/>
    <m/>
    <m/>
    <m/>
    <m/>
    <m/>
    <m/>
    <m/>
    <m/>
    <m/>
  </r>
  <r>
    <n v="901"/>
    <x v="84"/>
    <d v="2024-05-09T00:00:00"/>
    <n v="53"/>
    <x v="3"/>
    <x v="2"/>
    <n v="427"/>
    <x v="3"/>
    <n v="14"/>
    <n v="29"/>
    <n v="16"/>
    <n v="20"/>
    <n v="22"/>
    <n v="22"/>
    <n v="14"/>
    <m/>
    <n v="16"/>
    <n v="22"/>
    <m/>
    <m/>
    <m/>
    <m/>
    <m/>
  </r>
  <r>
    <n v="902"/>
    <x v="36"/>
    <d v="2024-05-09T00:00:00"/>
    <n v="122"/>
    <x v="2"/>
    <x v="0"/>
    <n v="73"/>
    <x v="4"/>
    <m/>
    <m/>
    <m/>
    <m/>
    <m/>
    <m/>
    <n v="20"/>
    <m/>
    <n v="21"/>
    <n v="21"/>
    <n v="19"/>
    <n v="16"/>
    <n v="21"/>
    <m/>
    <m/>
  </r>
  <r>
    <n v="903"/>
    <x v="74"/>
    <d v="2024-05-10T00:00:00"/>
    <n v="96"/>
    <x v="1"/>
    <x v="3"/>
    <n v="131"/>
    <x v="0"/>
    <n v="21"/>
    <n v="22"/>
    <n v="19"/>
    <n v="22"/>
    <m/>
    <n v="27"/>
    <n v="23"/>
    <n v="16"/>
    <m/>
    <m/>
    <m/>
    <m/>
    <m/>
    <m/>
    <m/>
  </r>
  <r>
    <n v="904"/>
    <x v="79"/>
    <d v="2024-05-14T00:00:00"/>
    <n v="34"/>
    <x v="2"/>
    <x v="3"/>
    <n v="404"/>
    <x v="4"/>
    <m/>
    <m/>
    <m/>
    <m/>
    <m/>
    <m/>
    <n v="22"/>
    <m/>
    <n v="22"/>
    <n v="14"/>
    <n v="17"/>
    <n v="20"/>
    <n v="23"/>
    <m/>
    <m/>
  </r>
  <r>
    <n v="905"/>
    <x v="116"/>
    <d v="2024-05-17T00:00:00"/>
    <n v="131"/>
    <x v="4"/>
    <x v="3"/>
    <n v="93"/>
    <x v="1"/>
    <m/>
    <m/>
    <m/>
    <m/>
    <m/>
    <m/>
    <n v="18"/>
    <n v="18"/>
    <n v="23"/>
    <n v="22"/>
    <m/>
    <m/>
    <n v="19"/>
    <n v="19"/>
    <n v="21"/>
  </r>
  <r>
    <n v="906"/>
    <x v="97"/>
    <d v="2024-05-18T00:00:00"/>
    <n v="102"/>
    <x v="2"/>
    <x v="0"/>
    <n v="261"/>
    <x v="1"/>
    <m/>
    <m/>
    <m/>
    <m/>
    <m/>
    <m/>
    <n v="17"/>
    <m/>
    <n v="18"/>
    <n v="19"/>
    <n v="21"/>
    <n v="15"/>
    <n v="23"/>
    <m/>
    <m/>
  </r>
  <r>
    <n v="907"/>
    <x v="8"/>
    <d v="2024-05-19T00:00:00"/>
    <n v="56"/>
    <x v="2"/>
    <x v="4"/>
    <n v="102"/>
    <x v="2"/>
    <m/>
    <m/>
    <m/>
    <m/>
    <m/>
    <m/>
    <n v="23"/>
    <m/>
    <n v="20"/>
    <n v="19"/>
    <n v="20"/>
    <n v="14"/>
    <n v="17"/>
    <m/>
    <m/>
  </r>
  <r>
    <n v="908"/>
    <x v="50"/>
    <d v="2024-05-17T00:00:00"/>
    <n v="127"/>
    <x v="2"/>
    <x v="4"/>
    <n v="172"/>
    <x v="1"/>
    <m/>
    <m/>
    <m/>
    <m/>
    <m/>
    <m/>
    <n v="17"/>
    <m/>
    <n v="18"/>
    <n v="19"/>
    <n v="17"/>
    <n v="16"/>
    <n v="19"/>
    <m/>
    <m/>
  </r>
  <r>
    <n v="909"/>
    <x v="17"/>
    <d v="2024-05-27T00:00:00"/>
    <n v="69"/>
    <x v="0"/>
    <x v="3"/>
    <n v="77"/>
    <x v="4"/>
    <n v="22"/>
    <n v="46"/>
    <n v="19"/>
    <n v="23"/>
    <n v="19"/>
    <m/>
    <m/>
    <m/>
    <m/>
    <m/>
    <m/>
    <m/>
    <m/>
    <m/>
    <m/>
  </r>
  <r>
    <n v="910"/>
    <x v="57"/>
    <d v="2024-04-29T00:00:00"/>
    <n v="101"/>
    <x v="0"/>
    <x v="0"/>
    <n v="343"/>
    <x v="2"/>
    <n v="17"/>
    <n v="35"/>
    <n v="23"/>
    <n v="20"/>
    <n v="23"/>
    <m/>
    <m/>
    <m/>
    <m/>
    <m/>
    <m/>
    <m/>
    <m/>
    <m/>
    <m/>
  </r>
  <r>
    <n v="911"/>
    <x v="70"/>
    <d v="2024-05-28T00:00:00"/>
    <n v="113"/>
    <x v="3"/>
    <x v="2"/>
    <n v="81"/>
    <x v="0"/>
    <n v="22"/>
    <n v="42"/>
    <n v="18"/>
    <n v="15"/>
    <n v="14"/>
    <n v="22"/>
    <n v="23"/>
    <m/>
    <n v="18"/>
    <n v="20"/>
    <m/>
    <m/>
    <m/>
    <m/>
    <m/>
  </r>
  <r>
    <n v="912"/>
    <x v="53"/>
    <d v="2024-04-30T00:00:00"/>
    <n v="46"/>
    <x v="4"/>
    <x v="1"/>
    <n v="260"/>
    <x v="2"/>
    <m/>
    <m/>
    <m/>
    <m/>
    <m/>
    <m/>
    <n v="14"/>
    <n v="24"/>
    <n v="18"/>
    <n v="19"/>
    <m/>
    <m/>
    <n v="24"/>
    <n v="21"/>
    <n v="21"/>
  </r>
  <r>
    <n v="913"/>
    <x v="31"/>
    <d v="2024-05-04T00:00:00"/>
    <n v="83"/>
    <x v="1"/>
    <x v="3"/>
    <n v="483"/>
    <x v="3"/>
    <n v="18"/>
    <n v="49"/>
    <n v="19"/>
    <n v="14"/>
    <m/>
    <n v="32"/>
    <n v="20"/>
    <n v="14"/>
    <m/>
    <m/>
    <m/>
    <m/>
    <m/>
    <m/>
    <m/>
  </r>
  <r>
    <n v="914"/>
    <x v="60"/>
    <d v="2024-05-10T00:00:00"/>
    <n v="24"/>
    <x v="1"/>
    <x v="0"/>
    <n v="441"/>
    <x v="0"/>
    <n v="21"/>
    <n v="41"/>
    <n v="19"/>
    <n v="19"/>
    <m/>
    <n v="34"/>
    <n v="17"/>
    <n v="16"/>
    <m/>
    <m/>
    <m/>
    <m/>
    <m/>
    <m/>
    <m/>
  </r>
  <r>
    <n v="915"/>
    <x v="113"/>
    <d v="2024-05-15T00:00:00"/>
    <n v="119"/>
    <x v="0"/>
    <x v="2"/>
    <n v="189"/>
    <x v="2"/>
    <n v="17"/>
    <n v="31"/>
    <n v="20"/>
    <n v="21"/>
    <n v="24"/>
    <m/>
    <m/>
    <m/>
    <m/>
    <m/>
    <m/>
    <m/>
    <m/>
    <m/>
    <m/>
  </r>
  <r>
    <n v="916"/>
    <x v="36"/>
    <d v="2024-05-01T00:00:00"/>
    <n v="114"/>
    <x v="2"/>
    <x v="2"/>
    <n v="203"/>
    <x v="3"/>
    <m/>
    <m/>
    <m/>
    <m/>
    <m/>
    <m/>
    <n v="23"/>
    <m/>
    <n v="21"/>
    <n v="18"/>
    <n v="15"/>
    <n v="19"/>
    <n v="15"/>
    <m/>
    <m/>
  </r>
  <r>
    <n v="917"/>
    <x v="98"/>
    <d v="2024-05-24T00:00:00"/>
    <n v="94"/>
    <x v="4"/>
    <x v="2"/>
    <n v="451"/>
    <x v="2"/>
    <m/>
    <m/>
    <m/>
    <m/>
    <m/>
    <m/>
    <n v="17"/>
    <n v="14"/>
    <n v="22"/>
    <n v="24"/>
    <m/>
    <m/>
    <n v="23"/>
    <n v="23"/>
    <n v="19"/>
  </r>
  <r>
    <n v="918"/>
    <x v="88"/>
    <d v="2024-05-13T00:00:00"/>
    <n v="110"/>
    <x v="3"/>
    <x v="4"/>
    <n v="356"/>
    <x v="2"/>
    <n v="18"/>
    <n v="35"/>
    <n v="24"/>
    <n v="22"/>
    <n v="23"/>
    <n v="33"/>
    <n v="24"/>
    <m/>
    <n v="23"/>
    <n v="16"/>
    <m/>
    <m/>
    <m/>
    <m/>
    <m/>
  </r>
  <r>
    <n v="919"/>
    <x v="24"/>
    <d v="2024-05-08T00:00:00"/>
    <n v="107"/>
    <x v="4"/>
    <x v="4"/>
    <n v="348"/>
    <x v="1"/>
    <m/>
    <m/>
    <m/>
    <m/>
    <m/>
    <m/>
    <n v="21"/>
    <n v="19"/>
    <n v="20"/>
    <n v="14"/>
    <m/>
    <m/>
    <n v="18"/>
    <n v="15"/>
    <n v="17"/>
  </r>
  <r>
    <n v="920"/>
    <x v="5"/>
    <d v="2024-05-06T00:00:00"/>
    <n v="41"/>
    <x v="4"/>
    <x v="1"/>
    <n v="95"/>
    <x v="2"/>
    <m/>
    <m/>
    <m/>
    <m/>
    <m/>
    <m/>
    <n v="19"/>
    <n v="22"/>
    <n v="15"/>
    <n v="22"/>
    <m/>
    <m/>
    <n v="16"/>
    <n v="14"/>
    <n v="18"/>
  </r>
  <r>
    <n v="921"/>
    <x v="82"/>
    <d v="2024-05-03T00:00:00"/>
    <n v="36"/>
    <x v="1"/>
    <x v="2"/>
    <n v="423"/>
    <x v="2"/>
    <n v="21"/>
    <n v="45"/>
    <n v="19"/>
    <n v="23"/>
    <m/>
    <n v="38"/>
    <n v="17"/>
    <n v="14"/>
    <m/>
    <m/>
    <m/>
    <m/>
    <m/>
    <m/>
    <m/>
  </r>
  <r>
    <n v="922"/>
    <x v="81"/>
    <d v="2024-05-04T00:00:00"/>
    <n v="35"/>
    <x v="1"/>
    <x v="3"/>
    <n v="232"/>
    <x v="4"/>
    <n v="21"/>
    <n v="23"/>
    <n v="14"/>
    <n v="24"/>
    <m/>
    <n v="36"/>
    <n v="16"/>
    <n v="23"/>
    <m/>
    <m/>
    <m/>
    <m/>
    <m/>
    <m/>
    <m/>
  </r>
  <r>
    <n v="923"/>
    <x v="24"/>
    <d v="2024-05-11T00:00:00"/>
    <n v="110"/>
    <x v="1"/>
    <x v="1"/>
    <n v="317"/>
    <x v="2"/>
    <n v="21"/>
    <n v="37"/>
    <n v="18"/>
    <n v="23"/>
    <m/>
    <n v="41"/>
    <n v="23"/>
    <n v="24"/>
    <m/>
    <m/>
    <m/>
    <m/>
    <m/>
    <m/>
    <m/>
  </r>
  <r>
    <n v="924"/>
    <x v="103"/>
    <d v="2024-05-03T00:00:00"/>
    <n v="79"/>
    <x v="0"/>
    <x v="4"/>
    <n v="312"/>
    <x v="4"/>
    <n v="22"/>
    <n v="30"/>
    <n v="15"/>
    <n v="20"/>
    <n v="23"/>
    <m/>
    <m/>
    <m/>
    <m/>
    <m/>
    <m/>
    <m/>
    <m/>
    <m/>
    <m/>
  </r>
  <r>
    <n v="925"/>
    <x v="24"/>
    <d v="2024-05-07T00:00:00"/>
    <n v="106"/>
    <x v="0"/>
    <x v="4"/>
    <n v="86"/>
    <x v="2"/>
    <n v="23"/>
    <n v="20"/>
    <n v="23"/>
    <n v="16"/>
    <n v="20"/>
    <m/>
    <m/>
    <m/>
    <m/>
    <m/>
    <m/>
    <m/>
    <m/>
    <m/>
    <m/>
  </r>
  <r>
    <n v="926"/>
    <x v="24"/>
    <d v="2024-05-15T00:00:00"/>
    <n v="114"/>
    <x v="2"/>
    <x v="4"/>
    <n v="314"/>
    <x v="2"/>
    <m/>
    <m/>
    <m/>
    <m/>
    <m/>
    <m/>
    <n v="23"/>
    <m/>
    <n v="24"/>
    <n v="21"/>
    <n v="16"/>
    <n v="21"/>
    <n v="24"/>
    <m/>
    <m/>
  </r>
  <r>
    <n v="927"/>
    <x v="105"/>
    <d v="2024-05-03T00:00:00"/>
    <n v="56"/>
    <x v="4"/>
    <x v="4"/>
    <n v="146"/>
    <x v="2"/>
    <m/>
    <m/>
    <m/>
    <m/>
    <m/>
    <m/>
    <n v="22"/>
    <n v="24"/>
    <n v="14"/>
    <n v="23"/>
    <m/>
    <m/>
    <n v="23"/>
    <n v="16"/>
    <n v="21"/>
  </r>
  <r>
    <n v="928"/>
    <x v="4"/>
    <d v="2024-05-21T00:00:00"/>
    <n v="83"/>
    <x v="4"/>
    <x v="3"/>
    <n v="341"/>
    <x v="4"/>
    <m/>
    <m/>
    <m/>
    <m/>
    <m/>
    <m/>
    <n v="17"/>
    <n v="19"/>
    <n v="19"/>
    <n v="24"/>
    <m/>
    <m/>
    <n v="23"/>
    <n v="22"/>
    <n v="24"/>
  </r>
  <r>
    <n v="929"/>
    <x v="19"/>
    <d v="2024-05-17T00:00:00"/>
    <n v="39"/>
    <x v="2"/>
    <x v="2"/>
    <n v="364"/>
    <x v="0"/>
    <m/>
    <m/>
    <m/>
    <m/>
    <m/>
    <m/>
    <n v="19"/>
    <m/>
    <n v="17"/>
    <n v="24"/>
    <n v="23"/>
    <n v="22"/>
    <n v="17"/>
    <m/>
    <m/>
  </r>
  <r>
    <n v="930"/>
    <x v="88"/>
    <d v="2024-05-16T00:00:00"/>
    <n v="113"/>
    <x v="0"/>
    <x v="4"/>
    <n v="115"/>
    <x v="4"/>
    <n v="17"/>
    <n v="26"/>
    <n v="23"/>
    <n v="16"/>
    <n v="19"/>
    <m/>
    <m/>
    <m/>
    <m/>
    <m/>
    <m/>
    <m/>
    <m/>
    <m/>
    <m/>
  </r>
  <r>
    <n v="931"/>
    <x v="22"/>
    <d v="2024-05-23T00:00:00"/>
    <n v="73"/>
    <x v="2"/>
    <x v="0"/>
    <n v="281"/>
    <x v="4"/>
    <m/>
    <m/>
    <m/>
    <m/>
    <m/>
    <m/>
    <n v="23"/>
    <m/>
    <n v="24"/>
    <n v="19"/>
    <n v="20"/>
    <n v="24"/>
    <n v="24"/>
    <m/>
    <m/>
  </r>
  <r>
    <n v="932"/>
    <x v="21"/>
    <d v="2024-05-25T00:00:00"/>
    <n v="42"/>
    <x v="0"/>
    <x v="0"/>
    <n v="280"/>
    <x v="0"/>
    <n v="23"/>
    <n v="23"/>
    <n v="24"/>
    <n v="23"/>
    <n v="23"/>
    <m/>
    <m/>
    <m/>
    <m/>
    <m/>
    <m/>
    <m/>
    <m/>
    <m/>
    <m/>
  </r>
  <r>
    <n v="933"/>
    <x v="13"/>
    <d v="2024-05-07T00:00:00"/>
    <n v="35"/>
    <x v="0"/>
    <x v="1"/>
    <n v="246"/>
    <x v="2"/>
    <n v="23"/>
    <n v="36"/>
    <n v="22"/>
    <n v="24"/>
    <n v="16"/>
    <m/>
    <m/>
    <m/>
    <m/>
    <m/>
    <m/>
    <m/>
    <m/>
    <m/>
    <m/>
  </r>
  <r>
    <n v="934"/>
    <x v="98"/>
    <d v="2024-05-11T00:00:00"/>
    <n v="81"/>
    <x v="1"/>
    <x v="2"/>
    <n v="263"/>
    <x v="3"/>
    <n v="22"/>
    <n v="31"/>
    <n v="17"/>
    <n v="19"/>
    <m/>
    <n v="41"/>
    <n v="22"/>
    <n v="20"/>
    <m/>
    <m/>
    <m/>
    <m/>
    <m/>
    <m/>
    <m/>
  </r>
  <r>
    <n v="935"/>
    <x v="111"/>
    <d v="2024-05-19T00:00:00"/>
    <n v="100"/>
    <x v="2"/>
    <x v="4"/>
    <n v="299"/>
    <x v="3"/>
    <m/>
    <m/>
    <m/>
    <m/>
    <m/>
    <m/>
    <n v="24"/>
    <m/>
    <n v="19"/>
    <n v="20"/>
    <n v="18"/>
    <n v="18"/>
    <n v="24"/>
    <m/>
    <m/>
  </r>
  <r>
    <n v="936"/>
    <x v="115"/>
    <d v="2024-05-06T00:00:00"/>
    <n v="45"/>
    <x v="1"/>
    <x v="3"/>
    <n v="497"/>
    <x v="4"/>
    <n v="23"/>
    <n v="33"/>
    <n v="23"/>
    <n v="24"/>
    <m/>
    <n v="25"/>
    <n v="19"/>
    <n v="15"/>
    <m/>
    <m/>
    <m/>
    <m/>
    <m/>
    <m/>
    <m/>
  </r>
  <r>
    <n v="937"/>
    <x v="38"/>
    <d v="2024-05-17T00:00:00"/>
    <n v="73"/>
    <x v="1"/>
    <x v="0"/>
    <n v="160"/>
    <x v="3"/>
    <n v="18"/>
    <n v="50"/>
    <n v="22"/>
    <n v="20"/>
    <m/>
    <n v="34"/>
    <n v="15"/>
    <n v="19"/>
    <m/>
    <m/>
    <m/>
    <m/>
    <m/>
    <m/>
    <m/>
  </r>
  <r>
    <n v="938"/>
    <x v="97"/>
    <d v="2024-05-03T00:00:00"/>
    <n v="87"/>
    <x v="0"/>
    <x v="2"/>
    <n v="60"/>
    <x v="1"/>
    <n v="23"/>
    <n v="33"/>
    <n v="16"/>
    <n v="17"/>
    <n v="17"/>
    <m/>
    <m/>
    <m/>
    <m/>
    <m/>
    <m/>
    <m/>
    <m/>
    <m/>
    <m/>
  </r>
  <r>
    <n v="939"/>
    <x v="17"/>
    <d v="2024-05-08T00:00:00"/>
    <n v="50"/>
    <x v="2"/>
    <x v="0"/>
    <n v="345"/>
    <x v="0"/>
    <m/>
    <m/>
    <m/>
    <m/>
    <m/>
    <m/>
    <n v="15"/>
    <m/>
    <n v="19"/>
    <n v="15"/>
    <n v="17"/>
    <n v="14"/>
    <n v="20"/>
    <m/>
    <m/>
  </r>
  <r>
    <n v="940"/>
    <x v="99"/>
    <d v="2024-05-28T00:00:00"/>
    <n v="148"/>
    <x v="3"/>
    <x v="0"/>
    <n v="257"/>
    <x v="2"/>
    <n v="18"/>
    <n v="45"/>
    <n v="18"/>
    <n v="16"/>
    <n v="14"/>
    <n v="46"/>
    <n v="19"/>
    <m/>
    <n v="19"/>
    <n v="21"/>
    <m/>
    <m/>
    <m/>
    <m/>
    <m/>
  </r>
  <r>
    <n v="941"/>
    <x v="66"/>
    <d v="2024-05-04T00:00:00"/>
    <n v="62"/>
    <x v="1"/>
    <x v="4"/>
    <n v="466"/>
    <x v="4"/>
    <n v="19"/>
    <n v="42"/>
    <n v="16"/>
    <n v="15"/>
    <m/>
    <n v="30"/>
    <n v="14"/>
    <n v="23"/>
    <m/>
    <m/>
    <m/>
    <m/>
    <m/>
    <m/>
    <m/>
  </r>
  <r>
    <n v="942"/>
    <x v="14"/>
    <d v="2024-05-25T00:00:00"/>
    <n v="108"/>
    <x v="4"/>
    <x v="3"/>
    <n v="181"/>
    <x v="2"/>
    <m/>
    <m/>
    <m/>
    <m/>
    <m/>
    <m/>
    <n v="17"/>
    <n v="18"/>
    <n v="22"/>
    <n v="20"/>
    <m/>
    <m/>
    <n v="16"/>
    <n v="24"/>
    <n v="17"/>
  </r>
  <r>
    <n v="943"/>
    <x v="32"/>
    <d v="2024-05-04T00:00:00"/>
    <n v="45"/>
    <x v="2"/>
    <x v="0"/>
    <n v="314"/>
    <x v="3"/>
    <m/>
    <m/>
    <m/>
    <m/>
    <m/>
    <m/>
    <n v="14"/>
    <m/>
    <n v="24"/>
    <n v="16"/>
    <n v="14"/>
    <n v="23"/>
    <n v="23"/>
    <m/>
    <m/>
  </r>
  <r>
    <n v="944"/>
    <x v="64"/>
    <d v="2024-05-22T00:00:00"/>
    <n v="28"/>
    <x v="3"/>
    <x v="0"/>
    <n v="111"/>
    <x v="4"/>
    <n v="17"/>
    <n v="25"/>
    <n v="22"/>
    <n v="22"/>
    <n v="14"/>
    <n v="45"/>
    <n v="16"/>
    <m/>
    <n v="22"/>
    <n v="24"/>
    <m/>
    <m/>
    <m/>
    <m/>
    <m/>
  </r>
  <r>
    <n v="945"/>
    <x v="33"/>
    <d v="2024-05-13T00:00:00"/>
    <n v="108"/>
    <x v="2"/>
    <x v="3"/>
    <n v="53"/>
    <x v="3"/>
    <m/>
    <m/>
    <m/>
    <m/>
    <m/>
    <m/>
    <n v="17"/>
    <m/>
    <n v="18"/>
    <n v="24"/>
    <n v="19"/>
    <n v="15"/>
    <n v="23"/>
    <m/>
    <m/>
  </r>
  <r>
    <n v="946"/>
    <x v="81"/>
    <d v="2024-05-03T00:00:00"/>
    <n v="34"/>
    <x v="3"/>
    <x v="4"/>
    <n v="371"/>
    <x v="3"/>
    <n v="22"/>
    <n v="24"/>
    <n v="15"/>
    <n v="22"/>
    <n v="17"/>
    <n v="29"/>
    <n v="15"/>
    <m/>
    <n v="14"/>
    <n v="18"/>
    <m/>
    <m/>
    <m/>
    <m/>
    <m/>
  </r>
  <r>
    <n v="947"/>
    <x v="12"/>
    <d v="2024-05-23T00:00:00"/>
    <n v="140"/>
    <x v="3"/>
    <x v="0"/>
    <n v="145"/>
    <x v="1"/>
    <n v="15"/>
    <n v="31"/>
    <n v="20"/>
    <n v="21"/>
    <n v="19"/>
    <n v="45"/>
    <n v="21"/>
    <m/>
    <n v="17"/>
    <n v="22"/>
    <m/>
    <m/>
    <m/>
    <m/>
    <m/>
  </r>
  <r>
    <n v="948"/>
    <x v="64"/>
    <d v="2024-05-13T00:00:00"/>
    <n v="19"/>
    <x v="4"/>
    <x v="3"/>
    <n v="352"/>
    <x v="1"/>
    <m/>
    <m/>
    <m/>
    <m/>
    <m/>
    <m/>
    <n v="17"/>
    <n v="21"/>
    <n v="24"/>
    <n v="20"/>
    <m/>
    <m/>
    <n v="18"/>
    <n v="23"/>
    <n v="15"/>
  </r>
  <r>
    <n v="949"/>
    <x v="19"/>
    <d v="2024-05-13T00:00:00"/>
    <n v="35"/>
    <x v="4"/>
    <x v="4"/>
    <n v="67"/>
    <x v="1"/>
    <m/>
    <m/>
    <m/>
    <m/>
    <m/>
    <m/>
    <n v="16"/>
    <n v="24"/>
    <n v="19"/>
    <n v="22"/>
    <m/>
    <m/>
    <n v="17"/>
    <n v="17"/>
    <n v="21"/>
  </r>
  <r>
    <n v="950"/>
    <x v="60"/>
    <d v="2024-04-29T00:00:00"/>
    <n v="13"/>
    <x v="1"/>
    <x v="2"/>
    <n v="177"/>
    <x v="4"/>
    <n v="16"/>
    <n v="20"/>
    <n v="23"/>
    <n v="18"/>
    <m/>
    <n v="26"/>
    <n v="21"/>
    <n v="23"/>
    <m/>
    <m/>
    <m/>
    <m/>
    <m/>
    <m/>
    <m/>
  </r>
  <r>
    <n v="951"/>
    <x v="92"/>
    <d v="2024-05-06T00:00:00"/>
    <n v="95"/>
    <x v="4"/>
    <x v="0"/>
    <n v="144"/>
    <x v="3"/>
    <m/>
    <m/>
    <m/>
    <m/>
    <m/>
    <m/>
    <n v="21"/>
    <n v="21"/>
    <n v="24"/>
    <n v="17"/>
    <m/>
    <m/>
    <n v="18"/>
    <n v="19"/>
    <n v="18"/>
  </r>
  <r>
    <n v="952"/>
    <x v="63"/>
    <d v="2024-05-18T00:00:00"/>
    <n v="108"/>
    <x v="4"/>
    <x v="3"/>
    <n v="140"/>
    <x v="2"/>
    <m/>
    <m/>
    <m/>
    <m/>
    <m/>
    <m/>
    <n v="22"/>
    <n v="15"/>
    <n v="17"/>
    <n v="17"/>
    <m/>
    <m/>
    <n v="24"/>
    <n v="24"/>
    <n v="15"/>
  </r>
  <r>
    <n v="953"/>
    <x v="27"/>
    <d v="2024-05-12T00:00:00"/>
    <n v="124"/>
    <x v="2"/>
    <x v="0"/>
    <n v="229"/>
    <x v="3"/>
    <m/>
    <m/>
    <m/>
    <m/>
    <m/>
    <m/>
    <n v="15"/>
    <m/>
    <n v="18"/>
    <n v="16"/>
    <n v="23"/>
    <n v="23"/>
    <n v="24"/>
    <m/>
    <m/>
  </r>
  <r>
    <n v="954"/>
    <x v="88"/>
    <d v="2024-05-03T00:00:00"/>
    <n v="100"/>
    <x v="0"/>
    <x v="0"/>
    <n v="410"/>
    <x v="4"/>
    <n v="20"/>
    <n v="40"/>
    <n v="21"/>
    <n v="20"/>
    <n v="23"/>
    <m/>
    <m/>
    <m/>
    <m/>
    <m/>
    <m/>
    <m/>
    <m/>
    <m/>
    <m/>
  </r>
  <r>
    <n v="955"/>
    <x v="88"/>
    <d v="2024-05-05T00:00:00"/>
    <n v="102"/>
    <x v="1"/>
    <x v="2"/>
    <n v="138"/>
    <x v="3"/>
    <n v="22"/>
    <n v="33"/>
    <n v="16"/>
    <n v="24"/>
    <m/>
    <n v="47"/>
    <n v="20"/>
    <n v="15"/>
    <m/>
    <m/>
    <m/>
    <m/>
    <m/>
    <m/>
    <m/>
  </r>
  <r>
    <n v="956"/>
    <x v="60"/>
    <d v="2024-05-27T00:00:00"/>
    <n v="41"/>
    <x v="1"/>
    <x v="1"/>
    <n v="405"/>
    <x v="1"/>
    <n v="16"/>
    <n v="47"/>
    <n v="14"/>
    <n v="14"/>
    <m/>
    <n v="34"/>
    <n v="20"/>
    <n v="17"/>
    <m/>
    <m/>
    <m/>
    <m/>
    <m/>
    <m/>
    <m/>
  </r>
  <r>
    <n v="957"/>
    <x v="115"/>
    <d v="2024-05-14T00:00:00"/>
    <n v="53"/>
    <x v="2"/>
    <x v="0"/>
    <n v="209"/>
    <x v="0"/>
    <m/>
    <m/>
    <m/>
    <m/>
    <m/>
    <m/>
    <n v="22"/>
    <m/>
    <n v="18"/>
    <n v="23"/>
    <n v="18"/>
    <n v="14"/>
    <n v="17"/>
    <m/>
    <m/>
  </r>
  <r>
    <n v="958"/>
    <x v="16"/>
    <d v="2024-05-21T00:00:00"/>
    <n v="59"/>
    <x v="3"/>
    <x v="3"/>
    <n v="271"/>
    <x v="4"/>
    <n v="18"/>
    <n v="39"/>
    <n v="15"/>
    <n v="19"/>
    <n v="19"/>
    <n v="26"/>
    <n v="16"/>
    <m/>
    <n v="22"/>
    <n v="18"/>
    <m/>
    <m/>
    <m/>
    <m/>
    <m/>
  </r>
  <r>
    <n v="959"/>
    <x v="18"/>
    <d v="2024-05-05T00:00:00"/>
    <n v="120"/>
    <x v="2"/>
    <x v="3"/>
    <n v="309"/>
    <x v="3"/>
    <m/>
    <m/>
    <m/>
    <m/>
    <m/>
    <m/>
    <n v="16"/>
    <m/>
    <n v="20"/>
    <n v="21"/>
    <n v="14"/>
    <n v="24"/>
    <n v="23"/>
    <m/>
    <m/>
  </r>
  <r>
    <n v="960"/>
    <x v="12"/>
    <d v="2024-05-15T00:00:00"/>
    <n v="132"/>
    <x v="1"/>
    <x v="3"/>
    <n v="430"/>
    <x v="1"/>
    <n v="16"/>
    <n v="40"/>
    <n v="21"/>
    <n v="16"/>
    <m/>
    <n v="22"/>
    <n v="16"/>
    <n v="22"/>
    <m/>
    <m/>
    <m/>
    <m/>
    <m/>
    <m/>
    <m/>
  </r>
  <r>
    <n v="961"/>
    <x v="113"/>
    <d v="2024-05-27T00:00:00"/>
    <n v="131"/>
    <x v="2"/>
    <x v="3"/>
    <n v="122"/>
    <x v="1"/>
    <m/>
    <m/>
    <m/>
    <m/>
    <m/>
    <m/>
    <n v="14"/>
    <m/>
    <n v="20"/>
    <n v="20"/>
    <n v="22"/>
    <n v="14"/>
    <n v="16"/>
    <m/>
    <m/>
  </r>
  <r>
    <n v="962"/>
    <x v="19"/>
    <d v="2024-05-08T00:00:00"/>
    <n v="30"/>
    <x v="3"/>
    <x v="0"/>
    <n v="232"/>
    <x v="1"/>
    <n v="14"/>
    <n v="31"/>
    <n v="14"/>
    <n v="20"/>
    <n v="19"/>
    <n v="41"/>
    <n v="23"/>
    <m/>
    <n v="23"/>
    <n v="14"/>
    <m/>
    <m/>
    <m/>
    <m/>
    <m/>
  </r>
  <r>
    <n v="963"/>
    <x v="96"/>
    <d v="2024-05-13T00:00:00"/>
    <n v="64"/>
    <x v="3"/>
    <x v="1"/>
    <n v="209"/>
    <x v="1"/>
    <n v="21"/>
    <n v="25"/>
    <n v="17"/>
    <n v="20"/>
    <n v="23"/>
    <n v="27"/>
    <n v="15"/>
    <m/>
    <n v="21"/>
    <n v="24"/>
    <m/>
    <m/>
    <m/>
    <m/>
    <m/>
  </r>
  <r>
    <n v="964"/>
    <x v="97"/>
    <d v="2024-05-03T00:00:00"/>
    <n v="87"/>
    <x v="2"/>
    <x v="0"/>
    <n v="314"/>
    <x v="3"/>
    <m/>
    <m/>
    <m/>
    <m/>
    <m/>
    <m/>
    <n v="21"/>
    <m/>
    <n v="15"/>
    <n v="20"/>
    <n v="21"/>
    <n v="16"/>
    <n v="18"/>
    <m/>
    <m/>
  </r>
  <r>
    <n v="965"/>
    <x v="4"/>
    <d v="2024-05-09T00:00:00"/>
    <n v="71"/>
    <x v="0"/>
    <x v="1"/>
    <n v="189"/>
    <x v="2"/>
    <n v="14"/>
    <n v="26"/>
    <n v="24"/>
    <n v="23"/>
    <n v="21"/>
    <m/>
    <m/>
    <m/>
    <m/>
    <m/>
    <m/>
    <m/>
    <m/>
    <m/>
    <m/>
  </r>
  <r>
    <n v="966"/>
    <x v="24"/>
    <d v="2024-05-21T00:00:00"/>
    <n v="120"/>
    <x v="1"/>
    <x v="4"/>
    <n v="205"/>
    <x v="3"/>
    <n v="24"/>
    <n v="35"/>
    <n v="16"/>
    <n v="16"/>
    <m/>
    <n v="28"/>
    <n v="23"/>
    <n v="15"/>
    <m/>
    <m/>
    <m/>
    <m/>
    <m/>
    <m/>
    <m/>
  </r>
  <r>
    <n v="967"/>
    <x v="47"/>
    <d v="2024-05-12T00:00:00"/>
    <n v="55"/>
    <x v="3"/>
    <x v="1"/>
    <n v="204"/>
    <x v="0"/>
    <n v="22"/>
    <n v="39"/>
    <n v="15"/>
    <n v="20"/>
    <n v="15"/>
    <n v="44"/>
    <n v="14"/>
    <m/>
    <n v="22"/>
    <n v="16"/>
    <m/>
    <m/>
    <m/>
    <m/>
    <m/>
  </r>
  <r>
    <n v="968"/>
    <x v="84"/>
    <d v="2024-05-04T00:00:00"/>
    <n v="48"/>
    <x v="2"/>
    <x v="0"/>
    <n v="407"/>
    <x v="3"/>
    <m/>
    <m/>
    <m/>
    <m/>
    <m/>
    <m/>
    <n v="24"/>
    <m/>
    <n v="14"/>
    <n v="17"/>
    <n v="23"/>
    <n v="15"/>
    <n v="20"/>
    <m/>
    <m/>
  </r>
  <r>
    <n v="969"/>
    <x v="104"/>
    <d v="2024-05-12T00:00:00"/>
    <n v="42"/>
    <x v="0"/>
    <x v="2"/>
    <n v="242"/>
    <x v="0"/>
    <n v="20"/>
    <n v="46"/>
    <n v="15"/>
    <n v="17"/>
    <n v="19"/>
    <m/>
    <m/>
    <m/>
    <m/>
    <m/>
    <m/>
    <m/>
    <m/>
    <m/>
    <m/>
  </r>
  <r>
    <n v="970"/>
    <x v="7"/>
    <d v="2024-05-02T00:00:00"/>
    <n v="75"/>
    <x v="3"/>
    <x v="4"/>
    <n v="74"/>
    <x v="4"/>
    <n v="21"/>
    <n v="38"/>
    <n v="20"/>
    <n v="24"/>
    <n v="15"/>
    <n v="49"/>
    <n v="19"/>
    <m/>
    <n v="15"/>
    <n v="21"/>
    <m/>
    <m/>
    <m/>
    <m/>
    <m/>
  </r>
  <r>
    <n v="971"/>
    <x v="52"/>
    <d v="2024-05-22T00:00:00"/>
    <n v="30"/>
    <x v="3"/>
    <x v="2"/>
    <n v="241"/>
    <x v="1"/>
    <n v="19"/>
    <n v="23"/>
    <n v="20"/>
    <n v="23"/>
    <n v="15"/>
    <n v="50"/>
    <n v="20"/>
    <m/>
    <n v="15"/>
    <n v="20"/>
    <m/>
    <m/>
    <m/>
    <m/>
    <m/>
  </r>
  <r>
    <n v="972"/>
    <x v="17"/>
    <d v="2024-05-28T00:00:00"/>
    <n v="70"/>
    <x v="4"/>
    <x v="3"/>
    <n v="244"/>
    <x v="0"/>
    <m/>
    <m/>
    <m/>
    <m/>
    <m/>
    <m/>
    <n v="20"/>
    <n v="20"/>
    <n v="24"/>
    <n v="17"/>
    <m/>
    <m/>
    <n v="22"/>
    <n v="19"/>
    <n v="23"/>
  </r>
  <r>
    <n v="973"/>
    <x v="68"/>
    <d v="2024-05-16T00:00:00"/>
    <n v="79"/>
    <x v="4"/>
    <x v="0"/>
    <n v="100"/>
    <x v="4"/>
    <m/>
    <m/>
    <m/>
    <m/>
    <m/>
    <m/>
    <n v="20"/>
    <n v="21"/>
    <n v="14"/>
    <n v="23"/>
    <m/>
    <m/>
    <n v="17"/>
    <n v="22"/>
    <n v="16"/>
  </r>
  <r>
    <n v="974"/>
    <x v="75"/>
    <d v="2024-05-10T00:00:00"/>
    <n v="77"/>
    <x v="1"/>
    <x v="2"/>
    <n v="78"/>
    <x v="3"/>
    <n v="17"/>
    <n v="25"/>
    <n v="14"/>
    <n v="18"/>
    <m/>
    <n v="24"/>
    <n v="22"/>
    <n v="21"/>
    <m/>
    <m/>
    <m/>
    <m/>
    <m/>
    <m/>
    <m/>
  </r>
  <r>
    <n v="975"/>
    <x v="46"/>
    <d v="2024-05-07T00:00:00"/>
    <n v="10"/>
    <x v="1"/>
    <x v="2"/>
    <n v="404"/>
    <x v="1"/>
    <n v="18"/>
    <n v="39"/>
    <n v="17"/>
    <n v="22"/>
    <m/>
    <n v="47"/>
    <n v="24"/>
    <n v="17"/>
    <m/>
    <m/>
    <m/>
    <m/>
    <m/>
    <m/>
    <m/>
  </r>
  <r>
    <n v="976"/>
    <x v="44"/>
    <d v="2024-05-09T00:00:00"/>
    <n v="66"/>
    <x v="0"/>
    <x v="3"/>
    <n v="484"/>
    <x v="1"/>
    <n v="22"/>
    <n v="38"/>
    <n v="20"/>
    <n v="22"/>
    <n v="18"/>
    <m/>
    <m/>
    <m/>
    <m/>
    <m/>
    <m/>
    <m/>
    <m/>
    <m/>
    <m/>
  </r>
  <r>
    <n v="977"/>
    <x v="37"/>
    <d v="2024-05-07T00:00:00"/>
    <n v="36"/>
    <x v="2"/>
    <x v="0"/>
    <n v="108"/>
    <x v="3"/>
    <m/>
    <m/>
    <m/>
    <m/>
    <m/>
    <m/>
    <n v="22"/>
    <m/>
    <n v="23"/>
    <n v="20"/>
    <n v="21"/>
    <n v="17"/>
    <n v="21"/>
    <m/>
    <m/>
  </r>
  <r>
    <n v="978"/>
    <x v="111"/>
    <d v="2024-05-28T00:00:00"/>
    <n v="109"/>
    <x v="1"/>
    <x v="1"/>
    <n v="306"/>
    <x v="2"/>
    <n v="21"/>
    <n v="35"/>
    <n v="24"/>
    <n v="18"/>
    <m/>
    <n v="24"/>
    <n v="21"/>
    <n v="20"/>
    <m/>
    <m/>
    <m/>
    <m/>
    <m/>
    <m/>
    <m/>
  </r>
  <r>
    <n v="979"/>
    <x v="15"/>
    <d v="2024-05-11T00:00:00"/>
    <n v="104"/>
    <x v="3"/>
    <x v="0"/>
    <n v="343"/>
    <x v="1"/>
    <n v="19"/>
    <n v="31"/>
    <n v="19"/>
    <n v="20"/>
    <n v="19"/>
    <n v="50"/>
    <n v="17"/>
    <m/>
    <n v="22"/>
    <n v="24"/>
    <m/>
    <m/>
    <m/>
    <m/>
    <m/>
  </r>
  <r>
    <n v="980"/>
    <x v="36"/>
    <d v="2024-04-30T00:00:00"/>
    <n v="113"/>
    <x v="1"/>
    <x v="4"/>
    <n v="450"/>
    <x v="1"/>
    <n v="20"/>
    <n v="31"/>
    <n v="24"/>
    <n v="15"/>
    <m/>
    <n v="38"/>
    <n v="14"/>
    <n v="23"/>
    <m/>
    <m/>
    <m/>
    <m/>
    <m/>
    <m/>
    <m/>
  </r>
  <r>
    <n v="981"/>
    <x v="14"/>
    <d v="2024-05-02T00:00:00"/>
    <n v="85"/>
    <x v="0"/>
    <x v="4"/>
    <n v="389"/>
    <x v="4"/>
    <n v="21"/>
    <n v="44"/>
    <n v="24"/>
    <n v="18"/>
    <n v="23"/>
    <m/>
    <m/>
    <m/>
    <m/>
    <m/>
    <m/>
    <m/>
    <m/>
    <m/>
    <m/>
  </r>
  <r>
    <n v="982"/>
    <x v="75"/>
    <d v="2024-05-05T00:00:00"/>
    <n v="72"/>
    <x v="2"/>
    <x v="2"/>
    <n v="76"/>
    <x v="2"/>
    <m/>
    <m/>
    <m/>
    <m/>
    <m/>
    <m/>
    <n v="18"/>
    <m/>
    <n v="21"/>
    <n v="18"/>
    <n v="21"/>
    <n v="17"/>
    <n v="23"/>
    <m/>
    <m/>
  </r>
  <r>
    <n v="983"/>
    <x v="92"/>
    <d v="2024-05-15T00:00:00"/>
    <n v="104"/>
    <x v="0"/>
    <x v="2"/>
    <n v="232"/>
    <x v="2"/>
    <n v="22"/>
    <n v="39"/>
    <n v="22"/>
    <n v="19"/>
    <n v="24"/>
    <m/>
    <m/>
    <m/>
    <m/>
    <m/>
    <m/>
    <m/>
    <m/>
    <m/>
    <m/>
  </r>
  <r>
    <n v="984"/>
    <x v="91"/>
    <d v="2024-05-20T00:00:00"/>
    <n v="91"/>
    <x v="4"/>
    <x v="1"/>
    <n v="56"/>
    <x v="2"/>
    <m/>
    <m/>
    <m/>
    <m/>
    <m/>
    <m/>
    <n v="24"/>
    <n v="15"/>
    <n v="24"/>
    <n v="17"/>
    <m/>
    <m/>
    <n v="23"/>
    <n v="23"/>
    <n v="19"/>
  </r>
  <r>
    <n v="985"/>
    <x v="16"/>
    <d v="2024-05-04T00:00:00"/>
    <n v="42"/>
    <x v="4"/>
    <x v="0"/>
    <n v="207"/>
    <x v="4"/>
    <m/>
    <m/>
    <m/>
    <m/>
    <m/>
    <m/>
    <n v="24"/>
    <n v="22"/>
    <n v="14"/>
    <n v="20"/>
    <m/>
    <m/>
    <n v="15"/>
    <n v="15"/>
    <n v="23"/>
  </r>
  <r>
    <n v="986"/>
    <x v="89"/>
    <d v="2024-05-08T00:00:00"/>
    <n v="63"/>
    <x v="3"/>
    <x v="4"/>
    <n v="373"/>
    <x v="1"/>
    <n v="18"/>
    <n v="31"/>
    <n v="21"/>
    <n v="22"/>
    <n v="17"/>
    <n v="44"/>
    <n v="15"/>
    <m/>
    <n v="18"/>
    <n v="15"/>
    <m/>
    <m/>
    <m/>
    <m/>
    <m/>
  </r>
  <r>
    <n v="987"/>
    <x v="112"/>
    <d v="2024-05-23T00:00:00"/>
    <n v="115"/>
    <x v="2"/>
    <x v="1"/>
    <n v="243"/>
    <x v="2"/>
    <m/>
    <m/>
    <m/>
    <m/>
    <m/>
    <m/>
    <n v="21"/>
    <m/>
    <n v="18"/>
    <n v="22"/>
    <n v="22"/>
    <n v="14"/>
    <n v="21"/>
    <m/>
    <m/>
  </r>
  <r>
    <n v="988"/>
    <x v="90"/>
    <d v="2024-05-10T00:00:00"/>
    <n v="88"/>
    <x v="1"/>
    <x v="3"/>
    <n v="444"/>
    <x v="4"/>
    <n v="17"/>
    <n v="50"/>
    <n v="19"/>
    <n v="20"/>
    <m/>
    <n v="50"/>
    <n v="16"/>
    <n v="23"/>
    <m/>
    <m/>
    <m/>
    <m/>
    <m/>
    <m/>
    <m/>
  </r>
  <r>
    <n v="989"/>
    <x v="6"/>
    <d v="2024-05-24T00:00:00"/>
    <n v="140"/>
    <x v="4"/>
    <x v="4"/>
    <n v="473"/>
    <x v="4"/>
    <m/>
    <m/>
    <m/>
    <m/>
    <m/>
    <m/>
    <n v="24"/>
    <n v="20"/>
    <n v="24"/>
    <n v="16"/>
    <m/>
    <m/>
    <n v="23"/>
    <n v="14"/>
    <n v="15"/>
  </r>
  <r>
    <n v="990"/>
    <x v="42"/>
    <d v="2024-05-07T00:00:00"/>
    <n v="95"/>
    <x v="1"/>
    <x v="0"/>
    <n v="470"/>
    <x v="2"/>
    <n v="17"/>
    <n v="43"/>
    <n v="17"/>
    <n v="14"/>
    <m/>
    <n v="46"/>
    <n v="20"/>
    <n v="19"/>
    <m/>
    <m/>
    <m/>
    <m/>
    <m/>
    <m/>
    <m/>
  </r>
  <r>
    <n v="991"/>
    <x v="83"/>
    <d v="2024-05-25T00:00:00"/>
    <n v="43"/>
    <x v="0"/>
    <x v="2"/>
    <n v="139"/>
    <x v="1"/>
    <n v="19"/>
    <n v="33"/>
    <n v="17"/>
    <n v="15"/>
    <n v="20"/>
    <m/>
    <m/>
    <m/>
    <m/>
    <m/>
    <m/>
    <m/>
    <m/>
    <m/>
    <m/>
  </r>
  <r>
    <n v="992"/>
    <x v="68"/>
    <d v="2024-05-19T00:00:00"/>
    <n v="82"/>
    <x v="1"/>
    <x v="1"/>
    <n v="141"/>
    <x v="3"/>
    <n v="24"/>
    <n v="33"/>
    <n v="20"/>
    <n v="15"/>
    <m/>
    <n v="35"/>
    <n v="17"/>
    <n v="24"/>
    <m/>
    <m/>
    <m/>
    <m/>
    <m/>
    <m/>
    <m/>
  </r>
  <r>
    <n v="993"/>
    <x v="94"/>
    <d v="2024-04-27T00:00:00"/>
    <n v="42"/>
    <x v="3"/>
    <x v="2"/>
    <n v="160"/>
    <x v="3"/>
    <n v="16"/>
    <n v="20"/>
    <n v="24"/>
    <n v="24"/>
    <n v="21"/>
    <n v="31"/>
    <n v="18"/>
    <m/>
    <n v="17"/>
    <n v="24"/>
    <m/>
    <m/>
    <m/>
    <m/>
    <m/>
  </r>
  <r>
    <n v="994"/>
    <x v="85"/>
    <d v="2024-04-28T00:00:00"/>
    <n v="11"/>
    <x v="3"/>
    <x v="4"/>
    <n v="340"/>
    <x v="2"/>
    <n v="21"/>
    <n v="33"/>
    <n v="21"/>
    <n v="23"/>
    <n v="18"/>
    <n v="50"/>
    <n v="17"/>
    <m/>
    <n v="15"/>
    <n v="16"/>
    <m/>
    <m/>
    <m/>
    <m/>
    <m/>
  </r>
  <r>
    <n v="995"/>
    <x v="9"/>
    <d v="2024-04-29T00:00:00"/>
    <n v="106"/>
    <x v="4"/>
    <x v="0"/>
    <n v="79"/>
    <x v="0"/>
    <m/>
    <m/>
    <m/>
    <m/>
    <m/>
    <m/>
    <n v="17"/>
    <n v="24"/>
    <n v="23"/>
    <n v="22"/>
    <m/>
    <m/>
    <n v="16"/>
    <n v="21"/>
    <n v="15"/>
  </r>
  <r>
    <n v="996"/>
    <x v="79"/>
    <d v="2024-04-30T00:00:00"/>
    <n v="20"/>
    <x v="4"/>
    <x v="1"/>
    <n v="429"/>
    <x v="4"/>
    <m/>
    <m/>
    <m/>
    <m/>
    <m/>
    <m/>
    <n v="18"/>
    <n v="24"/>
    <n v="18"/>
    <n v="23"/>
    <m/>
    <m/>
    <n v="24"/>
    <n v="18"/>
    <n v="14"/>
  </r>
  <r>
    <n v="997"/>
    <x v="46"/>
    <d v="2024-05-01T00:00:00"/>
    <n v="4"/>
    <x v="0"/>
    <x v="1"/>
    <n v="295"/>
    <x v="1"/>
    <n v="23"/>
    <n v="21"/>
    <n v="23"/>
    <n v="24"/>
    <n v="24"/>
    <m/>
    <m/>
    <m/>
    <m/>
    <m/>
    <m/>
    <m/>
    <m/>
    <m/>
    <m/>
  </r>
  <r>
    <n v="998"/>
    <x v="77"/>
    <d v="2024-05-02T00:00:00"/>
    <n v="98"/>
    <x v="1"/>
    <x v="4"/>
    <n v="66"/>
    <x v="0"/>
    <n v="16"/>
    <n v="43"/>
    <n v="16"/>
    <n v="21"/>
    <m/>
    <n v="34"/>
    <n v="14"/>
    <n v="23"/>
    <m/>
    <m/>
    <m/>
    <m/>
    <m/>
    <m/>
    <m/>
  </r>
  <r>
    <n v="999"/>
    <x v="61"/>
    <d v="2024-05-03T00:00:00"/>
    <n v="78"/>
    <x v="3"/>
    <x v="2"/>
    <n v="392"/>
    <x v="3"/>
    <n v="19"/>
    <n v="34"/>
    <n v="14"/>
    <n v="23"/>
    <n v="18"/>
    <n v="23"/>
    <n v="18"/>
    <m/>
    <n v="23"/>
    <n v="15"/>
    <m/>
    <m/>
    <m/>
    <m/>
    <m/>
  </r>
  <r>
    <n v="1000"/>
    <x v="94"/>
    <d v="2024-05-04T00:00:00"/>
    <n v="49"/>
    <x v="3"/>
    <x v="4"/>
    <n v="357"/>
    <x v="2"/>
    <n v="16"/>
    <n v="37"/>
    <n v="17"/>
    <n v="19"/>
    <n v="14"/>
    <n v="20"/>
    <n v="17"/>
    <m/>
    <n v="24"/>
    <n v="2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D15FDC-CE60-4499-9C8B-4E42376360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30:C136" firstHeaderRow="1" firstDataRow="1" firstDataCol="1"/>
  <pivotFields count="25">
    <pivotField dataField="1"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numFmtId="1" showAll="0"/>
    <pivotField showAll="0"/>
    <pivotField axis="axisRow"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v="4"/>
    </i>
    <i>
      <x v="3"/>
    </i>
    <i>
      <x v="2"/>
    </i>
    <i>
      <x/>
    </i>
    <i>
      <x v="1"/>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E95FEA-CD26-40F7-A2C7-634F926043E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4">
  <location ref="B3:C9" firstHeaderRow="1" firstDataRow="1" firstDataCol="1"/>
  <pivotFields count="25">
    <pivotField dataField="1"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numFmtId="1"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
    </i>
    <i>
      <x/>
    </i>
    <i>
      <x v="3"/>
    </i>
    <i>
      <x v="4"/>
    </i>
    <i>
      <x v="2"/>
    </i>
    <i t="grand">
      <x/>
    </i>
  </rowItems>
  <colItems count="1">
    <i/>
  </colItems>
  <dataFields count="1">
    <dataField name="Count of OrderID" fld="0" subtotal="count" baseField="3" baseItem="0"/>
  </dataFields>
  <formats count="1">
    <format dxfId="4">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094934-DA97-4641-8B9C-08246D7FF17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79:D185" firstHeaderRow="1" firstDataRow="1" firstDataCol="1"/>
  <pivotFields count="25">
    <pivotField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dataField="1" numFmtId="1" showAll="0"/>
    <pivotField axis="axisRow" showAll="0">
      <items count="6">
        <item x="4"/>
        <item x="1"/>
        <item x="0"/>
        <item x="3"/>
        <item x="2"/>
        <item t="default"/>
      </items>
    </pivotField>
    <pivotField showAll="0"/>
    <pivotField showAll="0"/>
    <pivotField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Average of Processing days" fld="3"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F72DDE-5BF1-4083-AB45-41127DEB9835}"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13:B19" firstHeaderRow="1" firstDataRow="1" firstDataCol="1"/>
  <pivotFields count="25">
    <pivotField dataField="1"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numFmtId="1" showAll="0"/>
    <pivotField showAll="0"/>
    <pivotField showAll="0"/>
    <pivotField showAll="0"/>
    <pivotField axis="axisRow"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6">
    <i>
      <x/>
    </i>
    <i>
      <x v="1"/>
    </i>
    <i>
      <x v="2"/>
    </i>
    <i>
      <x v="3"/>
    </i>
    <i>
      <x v="4"/>
    </i>
    <i t="grand">
      <x/>
    </i>
  </rowItems>
  <colItems count="1">
    <i/>
  </colItems>
  <dataFields count="1">
    <dataField name="Count of Order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91341D-6E75-4C3D-912B-D5A0B0C4E72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C162:D168" firstHeaderRow="1" firstDataRow="1" firstDataCol="1"/>
  <pivotFields count="25">
    <pivotField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numFmtId="1" showAll="0"/>
    <pivotField showAll="0">
      <items count="6">
        <item x="4"/>
        <item x="1"/>
        <item x="0"/>
        <item x="3"/>
        <item x="2"/>
        <item t="default"/>
      </items>
    </pivotField>
    <pivotField axis="axisRow" showAll="0">
      <items count="6">
        <item x="1"/>
        <item x="2"/>
        <item x="0"/>
        <item x="4"/>
        <item x="3"/>
        <item t="default"/>
      </items>
    </pivotField>
    <pivotField dataField="1" showAll="0"/>
    <pivotField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Average of Cost" fld="6" subtotal="average" baseField="0" baseItem="0"/>
  </dataFields>
  <formats count="2">
    <format dxfId="6">
      <pivotArea grandRow="1" outline="0" collapsedLevelsAreSubtotals="1" fieldPosition="0"/>
    </format>
    <format dxfId="5">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478B96-4B76-46EF-9371-2602E78CA04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11:C116" firstHeaderRow="1" firstDataRow="1" firstDataCol="1"/>
  <pivotFields count="25">
    <pivotField dataField="1"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sortType="ascending" defaultSubtotal="0">
      <items count="14">
        <item sd="0" x="1"/>
        <item sd="0" x="2"/>
        <item sd="0" x="3"/>
        <item sd="0" x="4"/>
        <item sd="0" x="5"/>
        <item sd="0" x="6"/>
        <item sd="0" x="7"/>
        <item sd="0" x="8"/>
        <item sd="0" x="9"/>
        <item sd="0" x="10"/>
        <item sd="0" x="11"/>
        <item sd="0" x="12"/>
        <item sd="0" x="0"/>
        <item sd="0" x="13"/>
      </items>
    </pivotField>
  </pivotFields>
  <rowFields count="1">
    <field x="24"/>
  </rowFields>
  <rowItems count="5">
    <i>
      <x/>
    </i>
    <i>
      <x v="1"/>
    </i>
    <i>
      <x v="2"/>
    </i>
    <i>
      <x v="3"/>
    </i>
    <i t="grand">
      <x/>
    </i>
  </rowItems>
  <colItems count="1">
    <i/>
  </colItems>
  <dataFields count="1">
    <dataField name="Count of OrderID" fld="0" subtotal="count" baseField="23"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912AE2-1BBA-4FDD-80A5-09F89D4156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2:C28" firstHeaderRow="1" firstDataRow="1" firstDataCol="1"/>
  <pivotFields count="25">
    <pivotField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numFmtId="1"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
    </i>
    <i>
      <x/>
    </i>
    <i>
      <x v="3"/>
    </i>
    <i>
      <x v="4"/>
    </i>
    <i>
      <x v="2"/>
    </i>
    <i t="grand">
      <x/>
    </i>
  </rowItems>
  <colItems count="1">
    <i/>
  </colItems>
  <dataFields count="1">
    <dataField name="Sum of Cost" fld="6" baseField="0" baseItem="0" numFmtId="165"/>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63D915-7EA4-48CA-AF22-591EFF6769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38:C44" firstHeaderRow="1" firstDataRow="1" firstDataCol="1"/>
  <pivotFields count="25">
    <pivotField dataField="1"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numFmtId="1" showAll="0"/>
    <pivotField showAll="0"/>
    <pivotField showAll="0"/>
    <pivotField showAll="0"/>
    <pivotField axis="axisRow"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Count of OrderID" fld="0" subtotal="count" baseField="6"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 chart="8" format="9">
      <pivotArea type="data" outline="0" fieldPosition="0">
        <references count="2">
          <reference field="4294967294" count="1" selected="0">
            <x v="0"/>
          </reference>
          <reference field="7" count="1" selected="0">
            <x v="2"/>
          </reference>
        </references>
      </pivotArea>
    </chartFormat>
    <chartFormat chart="8" format="10">
      <pivotArea type="data" outline="0" fieldPosition="0">
        <references count="2">
          <reference field="4294967294" count="1" selected="0">
            <x v="0"/>
          </reference>
          <reference field="7" count="1" selected="0">
            <x v="3"/>
          </reference>
        </references>
      </pivotArea>
    </chartFormat>
    <chartFormat chart="8" format="11">
      <pivotArea type="data" outline="0" fieldPosition="0">
        <references count="2">
          <reference field="4294967294" count="1" selected="0">
            <x v="0"/>
          </reference>
          <reference field="7"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7" count="1" selected="0">
            <x v="0"/>
          </reference>
        </references>
      </pivotArea>
    </chartFormat>
    <chartFormat chart="9" format="14">
      <pivotArea type="data" outline="0" fieldPosition="0">
        <references count="2">
          <reference field="4294967294" count="1" selected="0">
            <x v="0"/>
          </reference>
          <reference field="7" count="1" selected="0">
            <x v="1"/>
          </reference>
        </references>
      </pivotArea>
    </chartFormat>
    <chartFormat chart="9" format="15">
      <pivotArea type="data" outline="0" fieldPosition="0">
        <references count="2">
          <reference field="4294967294" count="1" selected="0">
            <x v="0"/>
          </reference>
          <reference field="7" count="1" selected="0">
            <x v="2"/>
          </reference>
        </references>
      </pivotArea>
    </chartFormat>
    <chartFormat chart="9" format="16">
      <pivotArea type="data" outline="0" fieldPosition="0">
        <references count="2">
          <reference field="4294967294" count="1" selected="0">
            <x v="0"/>
          </reference>
          <reference field="7" count="1" selected="0">
            <x v="3"/>
          </reference>
        </references>
      </pivotArea>
    </chartFormat>
    <chartFormat chart="9"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CA2D16-8228-46FD-87E0-CF0062D0E58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46:C147" firstHeaderRow="1" firstDataRow="1" firstDataCol="0"/>
  <pivotFields count="25">
    <pivotField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dataField="1"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processing days" fld="3" subtotal="average"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8EAE8B-A226-4285-9A24-9E5652DF67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7:C83" firstHeaderRow="1" firstDataRow="1" firstDataCol="1"/>
  <pivotFields count="25">
    <pivotField dataField="1"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numFmtId="1" showAll="0"/>
    <pivotField showAll="0"/>
    <pivotField axis="axisRow" showAll="0">
      <items count="6">
        <item x="1"/>
        <item x="2"/>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h="1" x="0"/>
        <item h="1" x="1"/>
        <item h="1" x="2"/>
        <item h="1" x="3"/>
        <item x="4"/>
        <item h="1" x="5"/>
        <item h="1" x="6"/>
        <item h="1" x="7"/>
        <item h="1" x="8"/>
        <item h="1" x="9"/>
        <item h="1" x="10"/>
        <item h="1" x="11"/>
        <item h="1" x="12"/>
        <item h="1" x="13"/>
      </items>
    </pivotField>
  </pivotFields>
  <rowFields count="1">
    <field x="5"/>
  </rowFields>
  <rowItems count="6">
    <i>
      <x/>
    </i>
    <i>
      <x v="1"/>
    </i>
    <i>
      <x v="2"/>
    </i>
    <i>
      <x v="3"/>
    </i>
    <i>
      <x v="4"/>
    </i>
    <i t="grand">
      <x/>
    </i>
  </rowItems>
  <colItems count="1">
    <i/>
  </colItems>
  <dataFields count="1">
    <dataField name="Count of OrderID"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985864-4595-4836-B423-E6CBF2E642A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94:C100" firstHeaderRow="1" firstDataRow="1" firstDataCol="1"/>
  <pivotFields count="25">
    <pivotField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numFmtId="1" showAll="0"/>
    <pivotField axis="axisRow" showAll="0">
      <items count="6">
        <item x="4"/>
        <item x="1"/>
        <item x="0"/>
        <item x="3"/>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AVERAGE COST" fld="6" subtotal="average" baseField="3" baseItem="0" numFmtId="166"/>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1572FE-C3B5-4B3B-B11B-8E055EDAD3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57:C62" firstHeaderRow="1" firstDataRow="1" firstDataCol="1"/>
  <pivotFields count="25">
    <pivotField showAll="0"/>
    <pivotField numFmtId="14" showAll="0">
      <items count="120">
        <item x="99"/>
        <item x="107"/>
        <item x="67"/>
        <item x="12"/>
        <item x="6"/>
        <item x="18"/>
        <item x="116"/>
        <item x="36"/>
        <item x="27"/>
        <item x="86"/>
        <item x="50"/>
        <item x="0"/>
        <item x="110"/>
        <item x="9"/>
        <item x="118"/>
        <item x="23"/>
        <item x="113"/>
        <item x="1"/>
        <item x="57"/>
        <item x="51"/>
        <item x="45"/>
        <item x="24"/>
        <item x="2"/>
        <item x="88"/>
        <item x="77"/>
        <item x="33"/>
        <item x="101"/>
        <item x="15"/>
        <item x="112"/>
        <item x="109"/>
        <item x="63"/>
        <item x="92"/>
        <item x="42"/>
        <item x="49"/>
        <item x="74"/>
        <item x="70"/>
        <item x="97"/>
        <item x="14"/>
        <item x="117"/>
        <item x="111"/>
        <item x="71"/>
        <item x="31"/>
        <item x="90"/>
        <item x="95"/>
        <item x="103"/>
        <item x="61"/>
        <item x="102"/>
        <item x="7"/>
        <item x="29"/>
        <item x="91"/>
        <item x="98"/>
        <item x="41"/>
        <item x="100"/>
        <item x="75"/>
        <item x="76"/>
        <item x="10"/>
        <item x="35"/>
        <item x="68"/>
        <item x="4"/>
        <item x="72"/>
        <item x="26"/>
        <item x="56"/>
        <item x="66"/>
        <item x="44"/>
        <item x="38"/>
        <item x="89"/>
        <item x="73"/>
        <item x="105"/>
        <item x="11"/>
        <item x="96"/>
        <item x="22"/>
        <item x="43"/>
        <item x="114"/>
        <item x="93"/>
        <item x="53"/>
        <item x="94"/>
        <item x="84"/>
        <item x="47"/>
        <item x="17"/>
        <item x="32"/>
        <item x="69"/>
        <item x="115"/>
        <item x="16"/>
        <item x="8"/>
        <item x="65"/>
        <item x="5"/>
        <item x="106"/>
        <item x="82"/>
        <item x="34"/>
        <item x="81"/>
        <item x="104"/>
        <item x="37"/>
        <item x="13"/>
        <item x="55"/>
        <item x="108"/>
        <item x="59"/>
        <item x="54"/>
        <item x="62"/>
        <item x="19"/>
        <item x="87"/>
        <item x="79"/>
        <item x="48"/>
        <item x="83"/>
        <item x="21"/>
        <item x="3"/>
        <item x="80"/>
        <item x="60"/>
        <item x="85"/>
        <item x="20"/>
        <item x="40"/>
        <item x="58"/>
        <item x="30"/>
        <item x="52"/>
        <item x="25"/>
        <item x="64"/>
        <item x="78"/>
        <item x="28"/>
        <item x="46"/>
        <item x="39"/>
        <item t="default"/>
      </items>
    </pivotField>
    <pivotField numFmtId="14" showAll="0"/>
    <pivotField numFmtI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4"/>
  </rowFields>
  <rowItems count="5">
    <i>
      <x v="1"/>
    </i>
    <i>
      <x v="2"/>
    </i>
    <i>
      <x v="3"/>
    </i>
    <i>
      <x v="4"/>
    </i>
    <i t="grand">
      <x/>
    </i>
  </rowItems>
  <colItems count="1">
    <i/>
  </colItems>
  <dataFields count="1">
    <dataField name="Sum of Cost" fld="6"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rmentType" xr10:uid="{D4CF800F-D0E5-4B6A-AFD3-F264E92EA737}" sourceName="GarmentType">
  <pivotTables>
    <pivotTable tabId="2" name="PivotTable1"/>
    <pivotTable tabId="2" name="PivotTable2"/>
    <pivotTable tabId="2" name="PivotTable6"/>
    <pivotTable tabId="2" name="PivotTable13"/>
  </pivotTables>
  <data>
    <tabular pivotCacheId="651952944">
      <items count="5">
        <i x="4" s="1"/>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FB88869-23B9-4595-9698-20DBAB233EC2}" sourceName="Status">
  <pivotTables>
    <pivotTable tabId="2" name="PivotTable3"/>
    <pivotTable tabId="2" name="PivotTable13"/>
    <pivotTable tabId="2" name="PivotTable14"/>
  </pivotTables>
  <data>
    <tabular pivotCacheId="651952944">
      <items count="5">
        <i x="3" s="1"/>
        <i x="0"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80A5BAA-407A-4BF5-B0B0-08C1F5B0B9D4}" sourceName="Months (Date)">
  <pivotTables>
    <pivotTable tabId="2" name="PivotTable4"/>
    <pivotTable tabId="2" name="PivotTable7"/>
    <pivotTable tabId="2" name="PivotTable13"/>
    <pivotTable tabId="2" name="PivotTable14"/>
  </pivotTables>
  <data>
    <tabular pivotCacheId="651952944">
      <items count="14">
        <i x="1" s="1"/>
        <i x="2" s="1"/>
        <i x="3" s="1"/>
        <i x="4" s="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 xr10:uid="{423EC9AC-89F1-44CB-82F2-0DE038F0C705}" sourceName="Material">
  <pivotTables>
    <pivotTable tabId="2" name="PivotTable8"/>
  </pivotTables>
  <data>
    <tabular pivotCacheId="651952944">
      <items count="5">
        <i x="1" s="1"/>
        <i x="2"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rmentType" xr10:uid="{333D46C9-05D7-4597-9129-B187D9202C1E}" cache="Slicer_GarmentType" caption="GarmentType" columnCount="5" rowHeight="241300"/>
  <slicer name="Status" xr10:uid="{35D523B4-65BE-4219-8A00-DDADB6335D89}" cache="Slicer_Status" caption="Status" columnCount="5" rowHeight="241300"/>
  <slicer name="Months (Date)" xr10:uid="{AC65DC21-809A-433D-A6E0-6F8385A8ADF8}" cache="Slicer_Months__Date" caption="Months (Date)" columnCount="4" rowHeight="10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rmentType 1" xr10:uid="{D14DDC62-1A46-4910-A19E-BCC004EB1A5A}" cache="Slicer_GarmentType" caption="Garment Type" columnCount="5" style="SlicerStyleOther2 2" rowHeight="1080000"/>
  <slicer name="Status 1" xr10:uid="{D8B0BD84-2F53-4388-8929-C939F22707FB}" cache="Slicer_Status" caption="Order Status" columnCount="5" style="SlicerStyleOther2 2" rowHeight="1080000"/>
  <slicer name="Months (Date) 1" xr10:uid="{365A4EA5-6A3C-4075-B305-9CE870B3AC2B}" cache="Slicer_Months__Date" caption="Months" columnCount="4" style="SlicerStyleOther2 2" rowHeight="1080000"/>
  <slicer name="Material" xr10:uid="{BF992824-42F2-4673-8C51-42CB2D69623B}" cache="Slicer_Material" caption="Material" columnCount="5" style="SlicerStyleOther2 2" rowHeight="10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183D80-B253-4FB2-8CD7-8C468EF0180A}" name="Tailordata" displayName="Tailordata" ref="A1:W1001" totalsRowShown="0">
  <autoFilter ref="A1:W1001" xr:uid="{E3183D80-B253-4FB2-8CD7-8C468EF0180A}"/>
  <tableColumns count="23">
    <tableColumn id="1" xr3:uid="{1E50FCE9-8923-49CA-A1E0-ABED9C84D178}" name="OrderID"/>
    <tableColumn id="2" xr3:uid="{32CB455D-5D1E-4D61-8716-9870B292B95D}" name="Date" dataDxfId="9"/>
    <tableColumn id="3" xr3:uid="{F9763FCE-7236-4322-B3B7-EFEE501EA0B6}" name="DueDate" dataDxfId="8"/>
    <tableColumn id="23" xr3:uid="{8B92B8F7-17D9-4F85-86C8-0CA35F8AEB2E}" name="Processing days" dataDxfId="7">
      <calculatedColumnFormula>Tailordata[[#This Row],[DueDate]]-Tailordata[[#This Row],[Date]]</calculatedColumnFormula>
    </tableColumn>
    <tableColumn id="4" xr3:uid="{03BFC5D4-C1B2-4653-AA44-6049C4FC6065}" name="GarmentType"/>
    <tableColumn id="5" xr3:uid="{3F85C313-4CA7-4D0D-BDF4-83A83EFF4DD7}" name="Material"/>
    <tableColumn id="6" xr3:uid="{3896B44B-831F-4FC4-9D9F-CECACB254F19}" name="Cost"/>
    <tableColumn id="7" xr3:uid="{37724AAC-2D38-4D42-B0C5-C5CB3DA0F22C}" name="Status"/>
    <tableColumn id="8" xr3:uid="{9934B8A1-6189-4B5F-959E-2D06AB5A080F}" name="Chest"/>
    <tableColumn id="9" xr3:uid="{AD6EEAEF-F5D5-471D-95A0-5E40D7F75EF6}" name="Arm Length"/>
    <tableColumn id="10" xr3:uid="{C32BF33E-5491-4CF2-A8C3-98C04B46BC99}" name="Shoulder"/>
    <tableColumn id="11" xr3:uid="{C0B43206-D1B4-43D2-81EE-A8DF5EB10B5C}" name="Armscye"/>
    <tableColumn id="12" xr3:uid="{99BC3F26-6369-4BA6-90F1-41E15F1CB039}" name="Neck Size"/>
    <tableColumn id="13" xr3:uid="{43E223DD-FC8A-4DDE-881D-94C3E4DEF7DD}" name="Back Width"/>
    <tableColumn id="14" xr3:uid="{748FC675-1A95-478B-A479-E778335765E0}" name="Waist"/>
    <tableColumn id="15" xr3:uid="{4162578C-35CB-470B-9CED-46F2B4EDEB8B}" name="Front Shoulder to Waist"/>
    <tableColumn id="16" xr3:uid="{28D76391-BCD1-4BA0-ABCC-B3098491AFD2}" name="Hip"/>
    <tableColumn id="17" xr3:uid="{F59D9A98-1952-4571-B29E-3261C78F07C7}" name="Waist to Knee"/>
    <tableColumn id="18" xr3:uid="{5E7AE3B2-84B5-42B1-A3C5-6A55E37C0EA8}" name="Crotch Depth"/>
    <tableColumn id="19" xr3:uid="{9D4A9F57-C76B-4986-818F-7FF2FFFBC9D5}" name="Body Rise"/>
    <tableColumn id="20" xr3:uid="{D5421EE3-A65B-462F-BDD1-4A535D35C964}" name="Waist to Floor"/>
    <tableColumn id="21" xr3:uid="{2A14113E-2DB3-48B2-A9DE-0B96E04C040D}" name="Nape to Waist"/>
    <tableColumn id="22" xr3:uid="{838D7DDF-F345-43E1-9EA7-91A5BFC110CC}" name="Bust"/>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F95BE-C801-4B92-B2F2-2BF358FD6E73}">
  <dimension ref="A1:W1001"/>
  <sheetViews>
    <sheetView zoomScale="64" zoomScaleNormal="100" workbookViewId="0">
      <selection activeCell="A2" sqref="A2"/>
    </sheetView>
  </sheetViews>
  <sheetFormatPr defaultRowHeight="14.5"/>
  <cols>
    <col min="1" max="1" width="11.54296875" customWidth="1"/>
    <col min="2" max="2" width="10.453125" bestFit="1" customWidth="1"/>
    <col min="3" max="3" width="13.26953125" customWidth="1"/>
    <col min="4" max="4" width="17.81640625" customWidth="1"/>
    <col min="5" max="5" width="15.81640625" customWidth="1"/>
    <col min="6" max="6" width="12.08984375" customWidth="1"/>
    <col min="7" max="7" width="13.90625" bestFit="1" customWidth="1"/>
    <col min="8" max="8" width="11.6328125" customWidth="1"/>
    <col min="9" max="9" width="13.54296875" customWidth="1"/>
    <col min="10" max="10" width="16.1796875" customWidth="1"/>
    <col min="11" max="11" width="11.90625" customWidth="1"/>
    <col min="12" max="12" width="13.1796875" customWidth="1"/>
    <col min="13" max="13" width="13.08984375" customWidth="1"/>
    <col min="14" max="14" width="8.453125" customWidth="1"/>
    <col min="15" max="15" width="24.1796875" customWidth="1"/>
    <col min="16" max="16" width="7.6328125" customWidth="1"/>
    <col min="17" max="17" width="14.26953125" customWidth="1"/>
    <col min="18" max="18" width="13.7265625" customWidth="1"/>
    <col min="19" max="19" width="10.90625" customWidth="1"/>
    <col min="20" max="20" width="14.26953125" customWidth="1"/>
    <col min="21" max="21" width="17.7265625" customWidth="1"/>
    <col min="22" max="22" width="9.90625" customWidth="1"/>
  </cols>
  <sheetData>
    <row r="1" spans="1:23">
      <c r="A1" t="s">
        <v>0</v>
      </c>
      <c r="B1" t="s">
        <v>1</v>
      </c>
      <c r="C1" t="s">
        <v>2</v>
      </c>
      <c r="D1" s="29" t="s">
        <v>48</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row>
    <row r="2" spans="1:23">
      <c r="A2">
        <v>1</v>
      </c>
      <c r="B2" s="1">
        <v>45303</v>
      </c>
      <c r="C2" s="1">
        <v>45419</v>
      </c>
      <c r="D2" s="29">
        <f>Tailordata[[#This Row],[DueDate]]-Tailordata[[#This Row],[Date]]</f>
        <v>116</v>
      </c>
      <c r="E2" t="s">
        <v>22</v>
      </c>
      <c r="F2" t="s">
        <v>23</v>
      </c>
      <c r="G2">
        <v>357</v>
      </c>
      <c r="H2" t="s">
        <v>24</v>
      </c>
      <c r="I2">
        <v>16</v>
      </c>
      <c r="J2">
        <v>34</v>
      </c>
      <c r="K2">
        <v>22</v>
      </c>
      <c r="L2">
        <v>15</v>
      </c>
      <c r="M2">
        <v>14</v>
      </c>
    </row>
    <row r="3" spans="1:23">
      <c r="A3">
        <v>2</v>
      </c>
      <c r="B3" s="1">
        <v>45309</v>
      </c>
      <c r="C3" s="1">
        <v>45418</v>
      </c>
      <c r="D3" s="29">
        <f>Tailordata[[#This Row],[DueDate]]-Tailordata[[#This Row],[Date]]</f>
        <v>109</v>
      </c>
      <c r="E3" t="s">
        <v>22</v>
      </c>
      <c r="F3" t="s">
        <v>25</v>
      </c>
      <c r="G3">
        <v>221</v>
      </c>
      <c r="H3" t="s">
        <v>26</v>
      </c>
      <c r="I3">
        <v>16</v>
      </c>
      <c r="J3">
        <v>26</v>
      </c>
      <c r="K3">
        <v>23</v>
      </c>
      <c r="L3">
        <v>16</v>
      </c>
      <c r="M3">
        <v>23</v>
      </c>
    </row>
    <row r="4" spans="1:23">
      <c r="A4">
        <v>3</v>
      </c>
      <c r="B4" s="1">
        <v>45314</v>
      </c>
      <c r="C4" s="1">
        <v>45436</v>
      </c>
      <c r="D4" s="29">
        <f>Tailordata[[#This Row],[DueDate]]-Tailordata[[#This Row],[Date]]</f>
        <v>122</v>
      </c>
      <c r="E4" t="s">
        <v>27</v>
      </c>
      <c r="F4" t="s">
        <v>25</v>
      </c>
      <c r="G4">
        <v>166</v>
      </c>
      <c r="H4" t="s">
        <v>28</v>
      </c>
      <c r="I4">
        <v>23</v>
      </c>
      <c r="J4">
        <v>25</v>
      </c>
      <c r="K4">
        <v>19</v>
      </c>
      <c r="L4">
        <v>18</v>
      </c>
      <c r="N4">
        <v>40</v>
      </c>
      <c r="O4">
        <v>16</v>
      </c>
      <c r="P4">
        <v>14</v>
      </c>
    </row>
    <row r="5" spans="1:23">
      <c r="A5">
        <v>4</v>
      </c>
      <c r="B5" s="1">
        <v>45396</v>
      </c>
      <c r="C5" s="1">
        <v>45411</v>
      </c>
      <c r="D5" s="29">
        <f>Tailordata[[#This Row],[DueDate]]-Tailordata[[#This Row],[Date]]</f>
        <v>15</v>
      </c>
      <c r="E5" t="s">
        <v>29</v>
      </c>
      <c r="F5" t="s">
        <v>30</v>
      </c>
      <c r="G5">
        <v>316</v>
      </c>
      <c r="H5" t="s">
        <v>31</v>
      </c>
      <c r="O5">
        <v>19</v>
      </c>
      <c r="Q5">
        <v>20</v>
      </c>
      <c r="R5">
        <v>16</v>
      </c>
      <c r="S5">
        <v>19</v>
      </c>
      <c r="T5">
        <v>16</v>
      </c>
      <c r="U5">
        <v>17</v>
      </c>
    </row>
    <row r="6" spans="1:23">
      <c r="A6">
        <v>5</v>
      </c>
      <c r="B6" s="1">
        <v>45350</v>
      </c>
      <c r="C6" s="1">
        <v>45426</v>
      </c>
      <c r="D6" s="29">
        <f>Tailordata[[#This Row],[DueDate]]-Tailordata[[#This Row],[Date]]</f>
        <v>76</v>
      </c>
      <c r="E6" t="s">
        <v>29</v>
      </c>
      <c r="F6" t="s">
        <v>32</v>
      </c>
      <c r="G6">
        <v>199</v>
      </c>
      <c r="H6" t="s">
        <v>24</v>
      </c>
      <c r="O6">
        <v>17</v>
      </c>
      <c r="Q6">
        <v>16</v>
      </c>
      <c r="R6">
        <v>24</v>
      </c>
      <c r="S6">
        <v>22</v>
      </c>
      <c r="T6">
        <v>18</v>
      </c>
      <c r="U6">
        <v>21</v>
      </c>
    </row>
    <row r="7" spans="1:23">
      <c r="A7">
        <v>6</v>
      </c>
      <c r="B7" s="1">
        <v>45377</v>
      </c>
      <c r="C7" s="1">
        <v>45426</v>
      </c>
      <c r="D7" s="29">
        <f>Tailordata[[#This Row],[DueDate]]-Tailordata[[#This Row],[Date]]</f>
        <v>49</v>
      </c>
      <c r="E7" t="s">
        <v>33</v>
      </c>
      <c r="F7" t="s">
        <v>25</v>
      </c>
      <c r="G7">
        <v>370</v>
      </c>
      <c r="H7" t="s">
        <v>28</v>
      </c>
      <c r="I7">
        <v>24</v>
      </c>
      <c r="J7">
        <v>43</v>
      </c>
      <c r="K7">
        <v>24</v>
      </c>
      <c r="L7">
        <v>23</v>
      </c>
      <c r="M7">
        <v>17</v>
      </c>
      <c r="N7">
        <v>49</v>
      </c>
      <c r="O7">
        <v>21</v>
      </c>
      <c r="Q7">
        <v>17</v>
      </c>
      <c r="R7">
        <v>20</v>
      </c>
    </row>
    <row r="8" spans="1:23">
      <c r="A8">
        <v>7</v>
      </c>
      <c r="B8" s="1">
        <v>45296</v>
      </c>
      <c r="C8" s="1">
        <v>45427</v>
      </c>
      <c r="D8" s="29">
        <f>Tailordata[[#This Row],[DueDate]]-Tailordata[[#This Row],[Date]]</f>
        <v>131</v>
      </c>
      <c r="E8" t="s">
        <v>22</v>
      </c>
      <c r="F8" t="s">
        <v>25</v>
      </c>
      <c r="G8">
        <v>107</v>
      </c>
      <c r="H8" t="s">
        <v>24</v>
      </c>
      <c r="I8">
        <v>23</v>
      </c>
      <c r="J8">
        <v>24</v>
      </c>
      <c r="K8">
        <v>22</v>
      </c>
      <c r="L8">
        <v>19</v>
      </c>
      <c r="M8">
        <v>17</v>
      </c>
    </row>
    <row r="9" spans="1:23">
      <c r="A9">
        <v>8</v>
      </c>
      <c r="B9" s="1">
        <v>45339</v>
      </c>
      <c r="C9" s="1">
        <v>45430</v>
      </c>
      <c r="D9" s="29">
        <f>Tailordata[[#This Row],[DueDate]]-Tailordata[[#This Row],[Date]]</f>
        <v>91</v>
      </c>
      <c r="E9" t="s">
        <v>29</v>
      </c>
      <c r="F9" t="s">
        <v>32</v>
      </c>
      <c r="G9">
        <v>477</v>
      </c>
      <c r="H9" t="s">
        <v>24</v>
      </c>
      <c r="O9">
        <v>16</v>
      </c>
      <c r="Q9">
        <v>21</v>
      </c>
      <c r="R9">
        <v>21</v>
      </c>
      <c r="S9">
        <v>14</v>
      </c>
      <c r="T9">
        <v>20</v>
      </c>
      <c r="U9">
        <v>15</v>
      </c>
    </row>
    <row r="10" spans="1:23">
      <c r="A10">
        <v>9</v>
      </c>
      <c r="B10" s="1">
        <v>45375</v>
      </c>
      <c r="C10" s="1">
        <v>45413</v>
      </c>
      <c r="D10" s="29">
        <f>Tailordata[[#This Row],[DueDate]]-Tailordata[[#This Row],[Date]]</f>
        <v>38</v>
      </c>
      <c r="E10" t="s">
        <v>27</v>
      </c>
      <c r="F10" t="s">
        <v>32</v>
      </c>
      <c r="G10">
        <v>476</v>
      </c>
      <c r="H10" t="s">
        <v>34</v>
      </c>
      <c r="I10">
        <v>14</v>
      </c>
      <c r="J10">
        <v>41</v>
      </c>
      <c r="K10">
        <v>20</v>
      </c>
      <c r="L10">
        <v>20</v>
      </c>
      <c r="N10">
        <v>35</v>
      </c>
      <c r="O10">
        <v>17</v>
      </c>
      <c r="P10">
        <v>17</v>
      </c>
    </row>
    <row r="11" spans="1:23">
      <c r="A11">
        <v>10</v>
      </c>
      <c r="B11" s="1">
        <v>45305</v>
      </c>
      <c r="C11" s="1">
        <v>45418</v>
      </c>
      <c r="D11" s="29">
        <f>Tailordata[[#This Row],[DueDate]]-Tailordata[[#This Row],[Date]]</f>
        <v>113</v>
      </c>
      <c r="E11" t="s">
        <v>35</v>
      </c>
      <c r="F11" t="s">
        <v>23</v>
      </c>
      <c r="G11">
        <v>406</v>
      </c>
      <c r="H11" t="s">
        <v>28</v>
      </c>
      <c r="O11">
        <v>23</v>
      </c>
      <c r="P11">
        <v>16</v>
      </c>
      <c r="Q11">
        <v>23</v>
      </c>
      <c r="R11">
        <v>22</v>
      </c>
      <c r="U11">
        <v>15</v>
      </c>
      <c r="V11">
        <v>21</v>
      </c>
      <c r="W11">
        <v>17</v>
      </c>
    </row>
    <row r="12" spans="1:23">
      <c r="A12">
        <v>11</v>
      </c>
      <c r="B12" s="1">
        <v>45347</v>
      </c>
      <c r="C12" s="1">
        <v>45418</v>
      </c>
      <c r="D12" s="29">
        <f>Tailordata[[#This Row],[DueDate]]-Tailordata[[#This Row],[Date]]</f>
        <v>71</v>
      </c>
      <c r="E12" t="s">
        <v>35</v>
      </c>
      <c r="F12" t="s">
        <v>32</v>
      </c>
      <c r="G12">
        <v>453</v>
      </c>
      <c r="H12" t="s">
        <v>26</v>
      </c>
      <c r="O12">
        <v>22</v>
      </c>
      <c r="P12">
        <v>15</v>
      </c>
      <c r="Q12">
        <v>21</v>
      </c>
      <c r="R12">
        <v>17</v>
      </c>
      <c r="U12">
        <v>14</v>
      </c>
      <c r="V12">
        <v>15</v>
      </c>
      <c r="W12">
        <v>16</v>
      </c>
    </row>
    <row r="13" spans="1:23">
      <c r="A13">
        <v>12</v>
      </c>
      <c r="B13" s="1">
        <v>45360</v>
      </c>
      <c r="C13" s="1">
        <v>45413</v>
      </c>
      <c r="D13" s="29">
        <f>Tailordata[[#This Row],[DueDate]]-Tailordata[[#This Row],[Date]]</f>
        <v>53</v>
      </c>
      <c r="E13" t="s">
        <v>29</v>
      </c>
      <c r="F13" t="s">
        <v>23</v>
      </c>
      <c r="G13">
        <v>371</v>
      </c>
      <c r="H13" t="s">
        <v>28</v>
      </c>
      <c r="O13">
        <v>24</v>
      </c>
      <c r="Q13">
        <v>14</v>
      </c>
      <c r="R13">
        <v>16</v>
      </c>
      <c r="S13">
        <v>21</v>
      </c>
      <c r="T13">
        <v>18</v>
      </c>
      <c r="U13">
        <v>18</v>
      </c>
    </row>
    <row r="14" spans="1:23">
      <c r="A14">
        <v>13</v>
      </c>
      <c r="B14" s="1">
        <v>45295</v>
      </c>
      <c r="C14" s="1">
        <v>45423</v>
      </c>
      <c r="D14" s="29">
        <f>Tailordata[[#This Row],[DueDate]]-Tailordata[[#This Row],[Date]]</f>
        <v>128</v>
      </c>
      <c r="E14" t="s">
        <v>33</v>
      </c>
      <c r="F14" t="s">
        <v>25</v>
      </c>
      <c r="G14">
        <v>345</v>
      </c>
      <c r="H14" t="s">
        <v>34</v>
      </c>
      <c r="I14">
        <v>16</v>
      </c>
      <c r="J14">
        <v>32</v>
      </c>
      <c r="K14">
        <v>20</v>
      </c>
      <c r="L14">
        <v>17</v>
      </c>
      <c r="M14">
        <v>17</v>
      </c>
      <c r="N14">
        <v>26</v>
      </c>
      <c r="O14">
        <v>23</v>
      </c>
      <c r="Q14">
        <v>14</v>
      </c>
      <c r="R14">
        <v>20</v>
      </c>
    </row>
    <row r="15" spans="1:23">
      <c r="A15">
        <v>14</v>
      </c>
      <c r="B15" s="1">
        <v>45384</v>
      </c>
      <c r="C15" s="1">
        <v>45426</v>
      </c>
      <c r="D15" s="29">
        <f>Tailordata[[#This Row],[DueDate]]-Tailordata[[#This Row],[Date]]</f>
        <v>42</v>
      </c>
      <c r="E15" t="s">
        <v>29</v>
      </c>
      <c r="F15" t="s">
        <v>36</v>
      </c>
      <c r="G15">
        <v>160</v>
      </c>
      <c r="H15" t="s">
        <v>28</v>
      </c>
      <c r="O15">
        <v>17</v>
      </c>
      <c r="Q15">
        <v>17</v>
      </c>
      <c r="R15">
        <v>20</v>
      </c>
      <c r="S15">
        <v>18</v>
      </c>
      <c r="T15">
        <v>22</v>
      </c>
      <c r="U15">
        <v>15</v>
      </c>
    </row>
    <row r="16" spans="1:23">
      <c r="A16">
        <v>15</v>
      </c>
      <c r="B16" s="1">
        <v>45329</v>
      </c>
      <c r="C16" s="1">
        <v>45421</v>
      </c>
      <c r="D16" s="29">
        <f>Tailordata[[#This Row],[DueDate]]-Tailordata[[#This Row],[Date]]</f>
        <v>92</v>
      </c>
      <c r="E16" t="s">
        <v>27</v>
      </c>
      <c r="F16" t="s">
        <v>32</v>
      </c>
      <c r="G16">
        <v>474</v>
      </c>
      <c r="H16" t="s">
        <v>28</v>
      </c>
      <c r="I16">
        <v>17</v>
      </c>
      <c r="J16">
        <v>49</v>
      </c>
      <c r="K16">
        <v>18</v>
      </c>
      <c r="L16">
        <v>21</v>
      </c>
      <c r="N16">
        <v>31</v>
      </c>
      <c r="O16">
        <v>16</v>
      </c>
      <c r="P16">
        <v>16</v>
      </c>
    </row>
    <row r="17" spans="1:23">
      <c r="A17">
        <v>16</v>
      </c>
      <c r="B17" s="1">
        <v>45303</v>
      </c>
      <c r="C17" s="1">
        <v>45412</v>
      </c>
      <c r="D17" s="29">
        <f>Tailordata[[#This Row],[DueDate]]-Tailordata[[#This Row],[Date]]</f>
        <v>109</v>
      </c>
      <c r="E17" t="s">
        <v>29</v>
      </c>
      <c r="F17" t="s">
        <v>30</v>
      </c>
      <c r="G17">
        <v>175</v>
      </c>
      <c r="H17" t="s">
        <v>31</v>
      </c>
      <c r="O17">
        <v>14</v>
      </c>
      <c r="Q17">
        <v>19</v>
      </c>
      <c r="R17">
        <v>17</v>
      </c>
      <c r="S17">
        <v>15</v>
      </c>
      <c r="T17">
        <v>19</v>
      </c>
      <c r="U17">
        <v>15</v>
      </c>
    </row>
    <row r="18" spans="1:23">
      <c r="A18">
        <v>17</v>
      </c>
      <c r="B18" s="1">
        <v>45319</v>
      </c>
      <c r="C18" s="1">
        <v>45440</v>
      </c>
      <c r="D18" s="29">
        <f>Tailordata[[#This Row],[DueDate]]-Tailordata[[#This Row],[Date]]</f>
        <v>121</v>
      </c>
      <c r="E18" t="s">
        <v>33</v>
      </c>
      <c r="F18" t="s">
        <v>25</v>
      </c>
      <c r="G18">
        <v>499</v>
      </c>
      <c r="H18" t="s">
        <v>24</v>
      </c>
      <c r="I18">
        <v>20</v>
      </c>
      <c r="J18">
        <v>21</v>
      </c>
      <c r="K18">
        <v>22</v>
      </c>
      <c r="L18">
        <v>21</v>
      </c>
      <c r="M18">
        <v>21</v>
      </c>
      <c r="N18">
        <v>36</v>
      </c>
      <c r="O18">
        <v>23</v>
      </c>
      <c r="Q18">
        <v>23</v>
      </c>
      <c r="R18">
        <v>15</v>
      </c>
    </row>
    <row r="19" spans="1:23">
      <c r="A19">
        <v>18</v>
      </c>
      <c r="B19" s="1">
        <v>45374</v>
      </c>
      <c r="C19" s="1">
        <v>45440</v>
      </c>
      <c r="D19" s="29">
        <f>Tailordata[[#This Row],[DueDate]]-Tailordata[[#This Row],[Date]]</f>
        <v>66</v>
      </c>
      <c r="E19" t="s">
        <v>35</v>
      </c>
      <c r="F19" t="s">
        <v>32</v>
      </c>
      <c r="G19">
        <v>314</v>
      </c>
      <c r="H19" t="s">
        <v>31</v>
      </c>
      <c r="O19">
        <v>17</v>
      </c>
      <c r="P19">
        <v>17</v>
      </c>
      <c r="Q19">
        <v>21</v>
      </c>
      <c r="R19">
        <v>20</v>
      </c>
      <c r="U19">
        <v>22</v>
      </c>
      <c r="V19">
        <v>14</v>
      </c>
      <c r="W19">
        <v>24</v>
      </c>
    </row>
    <row r="20" spans="1:23">
      <c r="A20">
        <v>19</v>
      </c>
      <c r="B20" s="1">
        <v>45370</v>
      </c>
      <c r="C20" s="1">
        <v>45436</v>
      </c>
      <c r="D20" s="29">
        <f>Tailordata[[#This Row],[DueDate]]-Tailordata[[#This Row],[Date]]</f>
        <v>66</v>
      </c>
      <c r="E20" t="s">
        <v>22</v>
      </c>
      <c r="F20" t="s">
        <v>32</v>
      </c>
      <c r="G20">
        <v>84</v>
      </c>
      <c r="H20" t="s">
        <v>31</v>
      </c>
      <c r="I20">
        <v>14</v>
      </c>
      <c r="J20">
        <v>21</v>
      </c>
      <c r="K20">
        <v>17</v>
      </c>
      <c r="L20">
        <v>15</v>
      </c>
      <c r="M20">
        <v>24</v>
      </c>
    </row>
    <row r="21" spans="1:23">
      <c r="A21">
        <v>20</v>
      </c>
      <c r="B21" s="1">
        <v>45297</v>
      </c>
      <c r="C21" s="1">
        <v>45420</v>
      </c>
      <c r="D21" s="29">
        <f>Tailordata[[#This Row],[DueDate]]-Tailordata[[#This Row],[Date]]</f>
        <v>123</v>
      </c>
      <c r="E21" t="s">
        <v>27</v>
      </c>
      <c r="F21" t="s">
        <v>23</v>
      </c>
      <c r="G21">
        <v>296</v>
      </c>
      <c r="H21" t="s">
        <v>34</v>
      </c>
      <c r="I21">
        <v>16</v>
      </c>
      <c r="J21">
        <v>31</v>
      </c>
      <c r="K21">
        <v>24</v>
      </c>
      <c r="L21">
        <v>24</v>
      </c>
      <c r="N21">
        <v>45</v>
      </c>
      <c r="O21">
        <v>17</v>
      </c>
      <c r="P21">
        <v>22</v>
      </c>
    </row>
    <row r="22" spans="1:23">
      <c r="A22">
        <v>21</v>
      </c>
      <c r="B22" s="1">
        <v>45390</v>
      </c>
      <c r="C22" s="1">
        <v>45414</v>
      </c>
      <c r="D22" s="29">
        <f>Tailordata[[#This Row],[DueDate]]-Tailordata[[#This Row],[Date]]</f>
        <v>24</v>
      </c>
      <c r="E22" t="s">
        <v>27</v>
      </c>
      <c r="F22" t="s">
        <v>32</v>
      </c>
      <c r="G22">
        <v>67</v>
      </c>
      <c r="H22" t="s">
        <v>26</v>
      </c>
      <c r="I22">
        <v>24</v>
      </c>
      <c r="J22">
        <v>25</v>
      </c>
      <c r="K22">
        <v>19</v>
      </c>
      <c r="L22">
        <v>19</v>
      </c>
      <c r="N22">
        <v>44</v>
      </c>
      <c r="O22">
        <v>24</v>
      </c>
      <c r="P22">
        <v>21</v>
      </c>
    </row>
    <row r="23" spans="1:23">
      <c r="A23">
        <v>22</v>
      </c>
      <c r="B23" s="1">
        <v>45400</v>
      </c>
      <c r="C23" s="1">
        <v>45433</v>
      </c>
      <c r="D23" s="29">
        <f>Tailordata[[#This Row],[DueDate]]-Tailordata[[#This Row],[Date]]</f>
        <v>33</v>
      </c>
      <c r="E23" t="s">
        <v>22</v>
      </c>
      <c r="F23" t="s">
        <v>36</v>
      </c>
      <c r="G23">
        <v>414</v>
      </c>
      <c r="H23" t="s">
        <v>24</v>
      </c>
      <c r="I23">
        <v>14</v>
      </c>
      <c r="J23">
        <v>46</v>
      </c>
      <c r="K23">
        <v>15</v>
      </c>
      <c r="L23">
        <v>20</v>
      </c>
      <c r="M23">
        <v>15</v>
      </c>
    </row>
    <row r="24" spans="1:23">
      <c r="A24">
        <v>23</v>
      </c>
      <c r="B24" s="1">
        <v>45395</v>
      </c>
      <c r="C24" s="1">
        <v>45416</v>
      </c>
      <c r="D24" s="29">
        <f>Tailordata[[#This Row],[DueDate]]-Tailordata[[#This Row],[Date]]</f>
        <v>21</v>
      </c>
      <c r="E24" t="s">
        <v>22</v>
      </c>
      <c r="F24" t="s">
        <v>23</v>
      </c>
      <c r="G24">
        <v>371</v>
      </c>
      <c r="H24" t="s">
        <v>26</v>
      </c>
      <c r="I24">
        <v>24</v>
      </c>
      <c r="J24">
        <v>42</v>
      </c>
      <c r="K24">
        <v>21</v>
      </c>
      <c r="L24">
        <v>19</v>
      </c>
      <c r="M24">
        <v>14</v>
      </c>
    </row>
    <row r="25" spans="1:23">
      <c r="A25">
        <v>24</v>
      </c>
      <c r="B25" s="1">
        <v>45362</v>
      </c>
      <c r="C25" s="1">
        <v>45415</v>
      </c>
      <c r="D25" s="29">
        <f>Tailordata[[#This Row],[DueDate]]-Tailordata[[#This Row],[Date]]</f>
        <v>53</v>
      </c>
      <c r="E25" t="s">
        <v>33</v>
      </c>
      <c r="F25" t="s">
        <v>32</v>
      </c>
      <c r="G25">
        <v>109</v>
      </c>
      <c r="H25" t="s">
        <v>28</v>
      </c>
      <c r="I25">
        <v>21</v>
      </c>
      <c r="J25">
        <v>30</v>
      </c>
      <c r="K25">
        <v>15</v>
      </c>
      <c r="L25">
        <v>16</v>
      </c>
      <c r="M25">
        <v>17</v>
      </c>
      <c r="N25">
        <v>40</v>
      </c>
      <c r="O25">
        <v>18</v>
      </c>
      <c r="Q25">
        <v>23</v>
      </c>
      <c r="R25">
        <v>17</v>
      </c>
    </row>
    <row r="26" spans="1:23">
      <c r="A26">
        <v>25</v>
      </c>
      <c r="B26" s="1">
        <v>45307</v>
      </c>
      <c r="C26" s="1">
        <v>45422</v>
      </c>
      <c r="D26" s="29">
        <f>Tailordata[[#This Row],[DueDate]]-Tailordata[[#This Row],[Date]]</f>
        <v>115</v>
      </c>
      <c r="E26" t="s">
        <v>33</v>
      </c>
      <c r="F26" t="s">
        <v>36</v>
      </c>
      <c r="G26">
        <v>428</v>
      </c>
      <c r="H26" t="s">
        <v>26</v>
      </c>
      <c r="I26">
        <v>17</v>
      </c>
      <c r="J26">
        <v>27</v>
      </c>
      <c r="K26">
        <v>19</v>
      </c>
      <c r="L26">
        <v>19</v>
      </c>
      <c r="M26">
        <v>22</v>
      </c>
      <c r="N26">
        <v>40</v>
      </c>
      <c r="O26">
        <v>17</v>
      </c>
      <c r="Q26">
        <v>20</v>
      </c>
      <c r="R26">
        <v>24</v>
      </c>
    </row>
    <row r="27" spans="1:23">
      <c r="A27">
        <v>26</v>
      </c>
      <c r="B27" s="1">
        <v>45313</v>
      </c>
      <c r="C27" s="1">
        <v>45423</v>
      </c>
      <c r="D27" s="29">
        <f>Tailordata[[#This Row],[DueDate]]-Tailordata[[#This Row],[Date]]</f>
        <v>110</v>
      </c>
      <c r="E27" t="s">
        <v>27</v>
      </c>
      <c r="F27" t="s">
        <v>23</v>
      </c>
      <c r="G27">
        <v>315</v>
      </c>
      <c r="H27" t="s">
        <v>24</v>
      </c>
      <c r="I27">
        <v>14</v>
      </c>
      <c r="J27">
        <v>35</v>
      </c>
      <c r="K27">
        <v>23</v>
      </c>
      <c r="L27">
        <v>15</v>
      </c>
      <c r="N27">
        <v>28</v>
      </c>
      <c r="O27">
        <v>22</v>
      </c>
      <c r="P27">
        <v>20</v>
      </c>
    </row>
    <row r="28" spans="1:23">
      <c r="A28">
        <v>27</v>
      </c>
      <c r="B28" s="1">
        <v>45405</v>
      </c>
      <c r="C28" s="1">
        <v>45422</v>
      </c>
      <c r="D28" s="29">
        <f>Tailordata[[#This Row],[DueDate]]-Tailordata[[#This Row],[Date]]</f>
        <v>17</v>
      </c>
      <c r="E28" t="s">
        <v>29</v>
      </c>
      <c r="F28" t="s">
        <v>32</v>
      </c>
      <c r="G28">
        <v>233</v>
      </c>
      <c r="H28" t="s">
        <v>24</v>
      </c>
      <c r="O28">
        <v>14</v>
      </c>
      <c r="Q28">
        <v>15</v>
      </c>
      <c r="R28">
        <v>15</v>
      </c>
      <c r="S28">
        <v>17</v>
      </c>
      <c r="T28">
        <v>24</v>
      </c>
      <c r="U28">
        <v>20</v>
      </c>
    </row>
    <row r="29" spans="1:23">
      <c r="A29">
        <v>28</v>
      </c>
      <c r="B29" s="1">
        <v>45352</v>
      </c>
      <c r="C29" s="1">
        <v>45432</v>
      </c>
      <c r="D29" s="29">
        <f>Tailordata[[#This Row],[DueDate]]-Tailordata[[#This Row],[Date]]</f>
        <v>80</v>
      </c>
      <c r="E29" t="s">
        <v>35</v>
      </c>
      <c r="F29" t="s">
        <v>32</v>
      </c>
      <c r="G29">
        <v>163</v>
      </c>
      <c r="H29" t="s">
        <v>28</v>
      </c>
      <c r="O29">
        <v>15</v>
      </c>
      <c r="P29">
        <v>21</v>
      </c>
      <c r="Q29">
        <v>14</v>
      </c>
      <c r="R29">
        <v>16</v>
      </c>
      <c r="U29">
        <v>16</v>
      </c>
      <c r="V29">
        <v>24</v>
      </c>
      <c r="W29">
        <v>20</v>
      </c>
    </row>
    <row r="30" spans="1:23">
      <c r="A30">
        <v>29</v>
      </c>
      <c r="B30" s="1">
        <v>45300</v>
      </c>
      <c r="C30" s="1">
        <v>45437</v>
      </c>
      <c r="D30" s="29">
        <f>Tailordata[[#This Row],[DueDate]]-Tailordata[[#This Row],[Date]]</f>
        <v>137</v>
      </c>
      <c r="E30" t="s">
        <v>29</v>
      </c>
      <c r="F30" t="s">
        <v>36</v>
      </c>
      <c r="G30">
        <v>123</v>
      </c>
      <c r="H30" t="s">
        <v>24</v>
      </c>
      <c r="O30">
        <v>17</v>
      </c>
      <c r="Q30">
        <v>15</v>
      </c>
      <c r="R30">
        <v>24</v>
      </c>
      <c r="S30">
        <v>14</v>
      </c>
      <c r="T30">
        <v>22</v>
      </c>
      <c r="U30">
        <v>14</v>
      </c>
    </row>
    <row r="31" spans="1:23">
      <c r="A31">
        <v>30</v>
      </c>
      <c r="B31" s="1">
        <v>45313</v>
      </c>
      <c r="C31" s="1">
        <v>45434</v>
      </c>
      <c r="D31" s="29">
        <f>Tailordata[[#This Row],[DueDate]]-Tailordata[[#This Row],[Date]]</f>
        <v>121</v>
      </c>
      <c r="E31" t="s">
        <v>35</v>
      </c>
      <c r="F31" t="s">
        <v>30</v>
      </c>
      <c r="G31">
        <v>100</v>
      </c>
      <c r="H31" t="s">
        <v>26</v>
      </c>
      <c r="O31">
        <v>16</v>
      </c>
      <c r="P31">
        <v>23</v>
      </c>
      <c r="Q31">
        <v>24</v>
      </c>
      <c r="R31">
        <v>23</v>
      </c>
      <c r="U31">
        <v>14</v>
      </c>
      <c r="V31">
        <v>18</v>
      </c>
      <c r="W31">
        <v>17</v>
      </c>
    </row>
    <row r="32" spans="1:23">
      <c r="A32">
        <v>31</v>
      </c>
      <c r="B32" s="1">
        <v>45408</v>
      </c>
      <c r="C32" s="1">
        <v>45433</v>
      </c>
      <c r="D32" s="29">
        <f>Tailordata[[#This Row],[DueDate]]-Tailordata[[#This Row],[Date]]</f>
        <v>25</v>
      </c>
      <c r="E32" t="s">
        <v>29</v>
      </c>
      <c r="F32" t="s">
        <v>36</v>
      </c>
      <c r="G32">
        <v>167</v>
      </c>
      <c r="H32" t="s">
        <v>31</v>
      </c>
      <c r="O32">
        <v>14</v>
      </c>
      <c r="Q32">
        <v>21</v>
      </c>
      <c r="R32">
        <v>19</v>
      </c>
      <c r="S32">
        <v>20</v>
      </c>
      <c r="T32">
        <v>21</v>
      </c>
      <c r="U32">
        <v>23</v>
      </c>
    </row>
    <row r="33" spans="1:23">
      <c r="A33">
        <v>32</v>
      </c>
      <c r="B33" s="1">
        <v>45319</v>
      </c>
      <c r="C33" s="1">
        <v>45411</v>
      </c>
      <c r="D33" s="29">
        <f>Tailordata[[#This Row],[DueDate]]-Tailordata[[#This Row],[Date]]</f>
        <v>92</v>
      </c>
      <c r="E33" t="s">
        <v>33</v>
      </c>
      <c r="F33" t="s">
        <v>36</v>
      </c>
      <c r="G33">
        <v>144</v>
      </c>
      <c r="H33" t="s">
        <v>24</v>
      </c>
      <c r="I33">
        <v>20</v>
      </c>
      <c r="J33">
        <v>29</v>
      </c>
      <c r="K33">
        <v>17</v>
      </c>
      <c r="L33">
        <v>16</v>
      </c>
      <c r="M33">
        <v>17</v>
      </c>
      <c r="N33">
        <v>20</v>
      </c>
      <c r="O33">
        <v>22</v>
      </c>
      <c r="Q33">
        <v>21</v>
      </c>
      <c r="R33">
        <v>20</v>
      </c>
    </row>
    <row r="34" spans="1:23">
      <c r="A34">
        <v>33</v>
      </c>
      <c r="B34" s="1">
        <v>45340</v>
      </c>
      <c r="C34" s="1">
        <v>45432</v>
      </c>
      <c r="D34" s="29">
        <f>Tailordata[[#This Row],[DueDate]]-Tailordata[[#This Row],[Date]]</f>
        <v>92</v>
      </c>
      <c r="E34" t="s">
        <v>35</v>
      </c>
      <c r="F34" t="s">
        <v>32</v>
      </c>
      <c r="G34">
        <v>86</v>
      </c>
      <c r="H34" t="s">
        <v>24</v>
      </c>
      <c r="O34">
        <v>17</v>
      </c>
      <c r="P34">
        <v>24</v>
      </c>
      <c r="Q34">
        <v>20</v>
      </c>
      <c r="R34">
        <v>23</v>
      </c>
      <c r="U34">
        <v>22</v>
      </c>
      <c r="V34">
        <v>14</v>
      </c>
      <c r="W34">
        <v>19</v>
      </c>
    </row>
    <row r="35" spans="1:23">
      <c r="A35">
        <v>34</v>
      </c>
      <c r="B35" s="1">
        <v>45403</v>
      </c>
      <c r="C35" s="1">
        <v>45422</v>
      </c>
      <c r="D35" s="29">
        <f>Tailordata[[#This Row],[DueDate]]-Tailordata[[#This Row],[Date]]</f>
        <v>19</v>
      </c>
      <c r="E35" t="s">
        <v>22</v>
      </c>
      <c r="F35" t="s">
        <v>25</v>
      </c>
      <c r="G35">
        <v>445</v>
      </c>
      <c r="H35" t="s">
        <v>26</v>
      </c>
      <c r="I35">
        <v>19</v>
      </c>
      <c r="J35">
        <v>43</v>
      </c>
      <c r="K35">
        <v>17</v>
      </c>
      <c r="L35">
        <v>19</v>
      </c>
      <c r="M35">
        <v>14</v>
      </c>
    </row>
    <row r="36" spans="1:23">
      <c r="A36">
        <v>35</v>
      </c>
      <c r="B36" s="1">
        <v>45333</v>
      </c>
      <c r="C36" s="1">
        <v>45437</v>
      </c>
      <c r="D36" s="29">
        <f>Tailordata[[#This Row],[DueDate]]-Tailordata[[#This Row],[Date]]</f>
        <v>104</v>
      </c>
      <c r="E36" t="s">
        <v>27</v>
      </c>
      <c r="F36" t="s">
        <v>36</v>
      </c>
      <c r="G36">
        <v>454</v>
      </c>
      <c r="H36" t="s">
        <v>26</v>
      </c>
      <c r="I36">
        <v>23</v>
      </c>
      <c r="J36">
        <v>36</v>
      </c>
      <c r="K36">
        <v>15</v>
      </c>
      <c r="L36">
        <v>23</v>
      </c>
      <c r="N36">
        <v>41</v>
      </c>
      <c r="O36">
        <v>21</v>
      </c>
      <c r="P36">
        <v>24</v>
      </c>
    </row>
    <row r="37" spans="1:23">
      <c r="A37">
        <v>36</v>
      </c>
      <c r="B37" s="1">
        <v>45371</v>
      </c>
      <c r="C37" s="1">
        <v>45422</v>
      </c>
      <c r="D37" s="29">
        <f>Tailordata[[#This Row],[DueDate]]-Tailordata[[#This Row],[Date]]</f>
        <v>51</v>
      </c>
      <c r="E37" t="s">
        <v>33</v>
      </c>
      <c r="F37" t="s">
        <v>36</v>
      </c>
      <c r="G37">
        <v>255</v>
      </c>
      <c r="H37" t="s">
        <v>26</v>
      </c>
      <c r="I37">
        <v>20</v>
      </c>
      <c r="J37">
        <v>26</v>
      </c>
      <c r="K37">
        <v>23</v>
      </c>
      <c r="L37">
        <v>17</v>
      </c>
      <c r="M37">
        <v>21</v>
      </c>
      <c r="N37">
        <v>24</v>
      </c>
      <c r="O37">
        <v>18</v>
      </c>
      <c r="Q37">
        <v>22</v>
      </c>
      <c r="R37">
        <v>24</v>
      </c>
    </row>
    <row r="38" spans="1:23">
      <c r="A38">
        <v>37</v>
      </c>
      <c r="B38" s="1">
        <v>45317</v>
      </c>
      <c r="C38" s="1">
        <v>45424</v>
      </c>
      <c r="D38" s="29">
        <f>Tailordata[[#This Row],[DueDate]]-Tailordata[[#This Row],[Date]]</f>
        <v>107</v>
      </c>
      <c r="E38" t="s">
        <v>33</v>
      </c>
      <c r="F38" t="s">
        <v>23</v>
      </c>
      <c r="G38">
        <v>450</v>
      </c>
      <c r="H38" t="s">
        <v>24</v>
      </c>
      <c r="I38">
        <v>18</v>
      </c>
      <c r="J38">
        <v>41</v>
      </c>
      <c r="K38">
        <v>14</v>
      </c>
      <c r="L38">
        <v>23</v>
      </c>
      <c r="M38">
        <v>24</v>
      </c>
      <c r="N38">
        <v>34</v>
      </c>
      <c r="O38">
        <v>15</v>
      </c>
      <c r="Q38">
        <v>23</v>
      </c>
      <c r="R38">
        <v>24</v>
      </c>
    </row>
    <row r="39" spans="1:23">
      <c r="A39">
        <v>38</v>
      </c>
      <c r="B39" s="1">
        <v>45380</v>
      </c>
      <c r="C39" s="1">
        <v>45419</v>
      </c>
      <c r="D39" s="29">
        <f>Tailordata[[#This Row],[DueDate]]-Tailordata[[#This Row],[Date]]</f>
        <v>39</v>
      </c>
      <c r="E39" t="s">
        <v>27</v>
      </c>
      <c r="F39" t="s">
        <v>25</v>
      </c>
      <c r="G39">
        <v>220</v>
      </c>
      <c r="H39" t="s">
        <v>31</v>
      </c>
      <c r="I39">
        <v>14</v>
      </c>
      <c r="J39">
        <v>22</v>
      </c>
      <c r="K39">
        <v>16</v>
      </c>
      <c r="L39">
        <v>17</v>
      </c>
      <c r="N39">
        <v>37</v>
      </c>
      <c r="O39">
        <v>19</v>
      </c>
      <c r="P39">
        <v>18</v>
      </c>
    </row>
    <row r="40" spans="1:23">
      <c r="A40">
        <v>39</v>
      </c>
      <c r="B40" s="1">
        <v>45371</v>
      </c>
      <c r="C40" s="1">
        <v>45416</v>
      </c>
      <c r="D40" s="29">
        <f>Tailordata[[#This Row],[DueDate]]-Tailordata[[#This Row],[Date]]</f>
        <v>45</v>
      </c>
      <c r="E40" t="s">
        <v>27</v>
      </c>
      <c r="F40" t="s">
        <v>23</v>
      </c>
      <c r="G40">
        <v>205</v>
      </c>
      <c r="H40" t="s">
        <v>24</v>
      </c>
      <c r="I40">
        <v>14</v>
      </c>
      <c r="J40">
        <v>50</v>
      </c>
      <c r="K40">
        <v>14</v>
      </c>
      <c r="L40">
        <v>20</v>
      </c>
      <c r="N40">
        <v>34</v>
      </c>
      <c r="O40">
        <v>19</v>
      </c>
      <c r="P40">
        <v>16</v>
      </c>
    </row>
    <row r="41" spans="1:23">
      <c r="A41">
        <v>40</v>
      </c>
      <c r="B41" s="1">
        <v>45329</v>
      </c>
      <c r="C41" s="1">
        <v>45431</v>
      </c>
      <c r="D41" s="29">
        <f>Tailordata[[#This Row],[DueDate]]-Tailordata[[#This Row],[Date]]</f>
        <v>102</v>
      </c>
      <c r="E41" t="s">
        <v>29</v>
      </c>
      <c r="F41" t="s">
        <v>36</v>
      </c>
      <c r="G41">
        <v>349</v>
      </c>
      <c r="H41" t="s">
        <v>31</v>
      </c>
      <c r="O41">
        <v>22</v>
      </c>
      <c r="Q41">
        <v>18</v>
      </c>
      <c r="R41">
        <v>19</v>
      </c>
      <c r="S41">
        <v>18</v>
      </c>
      <c r="T41">
        <v>17</v>
      </c>
      <c r="U41">
        <v>17</v>
      </c>
    </row>
    <row r="42" spans="1:23">
      <c r="A42">
        <v>41</v>
      </c>
      <c r="B42" s="1">
        <v>45348</v>
      </c>
      <c r="C42" s="1">
        <v>45421</v>
      </c>
      <c r="D42" s="29">
        <f>Tailordata[[#This Row],[DueDate]]-Tailordata[[#This Row],[Date]]</f>
        <v>73</v>
      </c>
      <c r="E42" t="s">
        <v>33</v>
      </c>
      <c r="F42" t="s">
        <v>25</v>
      </c>
      <c r="G42">
        <v>430</v>
      </c>
      <c r="H42" t="s">
        <v>31</v>
      </c>
      <c r="I42">
        <v>24</v>
      </c>
      <c r="J42">
        <v>31</v>
      </c>
      <c r="K42">
        <v>21</v>
      </c>
      <c r="L42">
        <v>16</v>
      </c>
      <c r="M42">
        <v>24</v>
      </c>
      <c r="N42">
        <v>33</v>
      </c>
      <c r="O42">
        <v>17</v>
      </c>
      <c r="Q42">
        <v>22</v>
      </c>
      <c r="R42">
        <v>17</v>
      </c>
    </row>
    <row r="43" spans="1:23">
      <c r="A43">
        <v>42</v>
      </c>
      <c r="B43" s="1">
        <v>45390</v>
      </c>
      <c r="C43" s="1">
        <v>45432</v>
      </c>
      <c r="D43" s="29">
        <f>Tailordata[[#This Row],[DueDate]]-Tailordata[[#This Row],[Date]]</f>
        <v>42</v>
      </c>
      <c r="E43" t="s">
        <v>29</v>
      </c>
      <c r="F43" t="s">
        <v>23</v>
      </c>
      <c r="G43">
        <v>497</v>
      </c>
      <c r="H43" t="s">
        <v>28</v>
      </c>
      <c r="O43">
        <v>23</v>
      </c>
      <c r="Q43">
        <v>16</v>
      </c>
      <c r="R43">
        <v>24</v>
      </c>
      <c r="S43">
        <v>18</v>
      </c>
      <c r="T43">
        <v>18</v>
      </c>
      <c r="U43">
        <v>20</v>
      </c>
    </row>
    <row r="44" spans="1:23">
      <c r="A44">
        <v>43</v>
      </c>
      <c r="B44" s="1">
        <v>45350</v>
      </c>
      <c r="C44" s="1">
        <v>45437</v>
      </c>
      <c r="D44" s="29">
        <f>Tailordata[[#This Row],[DueDate]]-Tailordata[[#This Row],[Date]]</f>
        <v>87</v>
      </c>
      <c r="E44" t="s">
        <v>22</v>
      </c>
      <c r="F44" t="s">
        <v>30</v>
      </c>
      <c r="G44">
        <v>142</v>
      </c>
      <c r="H44" t="s">
        <v>31</v>
      </c>
      <c r="I44">
        <v>23</v>
      </c>
      <c r="J44">
        <v>40</v>
      </c>
      <c r="K44">
        <v>23</v>
      </c>
      <c r="L44">
        <v>19</v>
      </c>
      <c r="M44">
        <v>19</v>
      </c>
    </row>
    <row r="45" spans="1:23">
      <c r="A45">
        <v>44</v>
      </c>
      <c r="B45" s="1">
        <v>45299</v>
      </c>
      <c r="C45" s="1">
        <v>45425</v>
      </c>
      <c r="D45" s="29">
        <f>Tailordata[[#This Row],[DueDate]]-Tailordata[[#This Row],[Date]]</f>
        <v>126</v>
      </c>
      <c r="E45" t="s">
        <v>29</v>
      </c>
      <c r="F45" t="s">
        <v>36</v>
      </c>
      <c r="G45">
        <v>172</v>
      </c>
      <c r="H45" t="s">
        <v>26</v>
      </c>
      <c r="O45">
        <v>18</v>
      </c>
      <c r="Q45">
        <v>16</v>
      </c>
      <c r="R45">
        <v>17</v>
      </c>
      <c r="S45">
        <v>20</v>
      </c>
      <c r="T45">
        <v>18</v>
      </c>
      <c r="U45">
        <v>15</v>
      </c>
    </row>
    <row r="46" spans="1:23">
      <c r="A46">
        <v>45</v>
      </c>
      <c r="B46" s="1">
        <v>45383</v>
      </c>
      <c r="C46" s="1">
        <v>45423</v>
      </c>
      <c r="D46" s="29">
        <f>Tailordata[[#This Row],[DueDate]]-Tailordata[[#This Row],[Date]]</f>
        <v>40</v>
      </c>
      <c r="E46" t="s">
        <v>35</v>
      </c>
      <c r="F46" t="s">
        <v>30</v>
      </c>
      <c r="G46">
        <v>78</v>
      </c>
      <c r="H46" t="s">
        <v>31</v>
      </c>
      <c r="O46">
        <v>19</v>
      </c>
      <c r="P46">
        <v>14</v>
      </c>
      <c r="Q46">
        <v>17</v>
      </c>
      <c r="R46">
        <v>23</v>
      </c>
      <c r="U46">
        <v>17</v>
      </c>
      <c r="V46">
        <v>21</v>
      </c>
      <c r="W46">
        <v>17</v>
      </c>
    </row>
    <row r="47" spans="1:23">
      <c r="A47">
        <v>46</v>
      </c>
      <c r="B47" s="1">
        <v>45371</v>
      </c>
      <c r="C47" s="1">
        <v>45422</v>
      </c>
      <c r="D47" s="29">
        <f>Tailordata[[#This Row],[DueDate]]-Tailordata[[#This Row],[Date]]</f>
        <v>51</v>
      </c>
      <c r="E47" t="s">
        <v>29</v>
      </c>
      <c r="F47" t="s">
        <v>32</v>
      </c>
      <c r="G47">
        <v>271</v>
      </c>
      <c r="H47" t="s">
        <v>34</v>
      </c>
      <c r="O47">
        <v>15</v>
      </c>
      <c r="Q47">
        <v>22</v>
      </c>
      <c r="R47">
        <v>19</v>
      </c>
      <c r="S47">
        <v>19</v>
      </c>
      <c r="T47">
        <v>17</v>
      </c>
      <c r="U47">
        <v>14</v>
      </c>
    </row>
    <row r="48" spans="1:23">
      <c r="A48">
        <v>47</v>
      </c>
      <c r="B48" s="1">
        <v>45356</v>
      </c>
      <c r="C48" s="1">
        <v>45425</v>
      </c>
      <c r="D48" s="29">
        <f>Tailordata[[#This Row],[DueDate]]-Tailordata[[#This Row],[Date]]</f>
        <v>69</v>
      </c>
      <c r="E48" t="s">
        <v>33</v>
      </c>
      <c r="F48" t="s">
        <v>23</v>
      </c>
      <c r="G48">
        <v>104</v>
      </c>
      <c r="H48" t="s">
        <v>24</v>
      </c>
      <c r="I48">
        <v>15</v>
      </c>
      <c r="J48">
        <v>48</v>
      </c>
      <c r="K48">
        <v>14</v>
      </c>
      <c r="L48">
        <v>14</v>
      </c>
      <c r="M48">
        <v>19</v>
      </c>
      <c r="N48">
        <v>22</v>
      </c>
      <c r="O48">
        <v>14</v>
      </c>
      <c r="Q48">
        <v>14</v>
      </c>
      <c r="R48">
        <v>21</v>
      </c>
    </row>
    <row r="49" spans="1:23">
      <c r="A49">
        <v>48</v>
      </c>
      <c r="B49" s="1">
        <v>45371</v>
      </c>
      <c r="C49" s="1">
        <v>45439</v>
      </c>
      <c r="D49" s="29">
        <f>Tailordata[[#This Row],[DueDate]]-Tailordata[[#This Row],[Date]]</f>
        <v>68</v>
      </c>
      <c r="E49" t="s">
        <v>33</v>
      </c>
      <c r="F49" t="s">
        <v>25</v>
      </c>
      <c r="G49">
        <v>147</v>
      </c>
      <c r="H49" t="s">
        <v>31</v>
      </c>
      <c r="I49">
        <v>21</v>
      </c>
      <c r="J49">
        <v>47</v>
      </c>
      <c r="K49">
        <v>14</v>
      </c>
      <c r="L49">
        <v>21</v>
      </c>
      <c r="M49">
        <v>23</v>
      </c>
      <c r="N49">
        <v>39</v>
      </c>
      <c r="O49">
        <v>24</v>
      </c>
      <c r="Q49">
        <v>24</v>
      </c>
      <c r="R49">
        <v>21</v>
      </c>
    </row>
    <row r="50" spans="1:23">
      <c r="A50">
        <v>49</v>
      </c>
      <c r="B50" s="1">
        <v>45410</v>
      </c>
      <c r="C50" s="1">
        <v>45412</v>
      </c>
      <c r="D50" s="29">
        <f>Tailordata[[#This Row],[DueDate]]-Tailordata[[#This Row],[Date]]</f>
        <v>2</v>
      </c>
      <c r="E50" t="s">
        <v>33</v>
      </c>
      <c r="F50" t="s">
        <v>32</v>
      </c>
      <c r="G50">
        <v>134</v>
      </c>
      <c r="H50" t="s">
        <v>24</v>
      </c>
      <c r="I50">
        <v>15</v>
      </c>
      <c r="J50">
        <v>20</v>
      </c>
      <c r="K50">
        <v>19</v>
      </c>
      <c r="L50">
        <v>24</v>
      </c>
      <c r="M50">
        <v>18</v>
      </c>
      <c r="N50">
        <v>45</v>
      </c>
      <c r="O50">
        <v>22</v>
      </c>
      <c r="Q50">
        <v>21</v>
      </c>
      <c r="R50">
        <v>14</v>
      </c>
    </row>
    <row r="51" spans="1:23">
      <c r="A51">
        <v>50</v>
      </c>
      <c r="B51" s="1">
        <v>45401</v>
      </c>
      <c r="C51" s="1">
        <v>45432</v>
      </c>
      <c r="D51" s="29">
        <f>Tailordata[[#This Row],[DueDate]]-Tailordata[[#This Row],[Date]]</f>
        <v>31</v>
      </c>
      <c r="E51" t="s">
        <v>35</v>
      </c>
      <c r="F51" t="s">
        <v>23</v>
      </c>
      <c r="G51">
        <v>300</v>
      </c>
      <c r="H51" t="s">
        <v>24</v>
      </c>
      <c r="O51">
        <v>20</v>
      </c>
      <c r="P51">
        <v>17</v>
      </c>
      <c r="Q51">
        <v>18</v>
      </c>
      <c r="R51">
        <v>16</v>
      </c>
      <c r="U51">
        <v>16</v>
      </c>
      <c r="V51">
        <v>14</v>
      </c>
      <c r="W51">
        <v>15</v>
      </c>
    </row>
    <row r="52" spans="1:23">
      <c r="A52">
        <v>51</v>
      </c>
      <c r="B52" s="1">
        <v>45343</v>
      </c>
      <c r="C52" s="1">
        <v>45414</v>
      </c>
      <c r="D52" s="29">
        <f>Tailordata[[#This Row],[DueDate]]-Tailordata[[#This Row],[Date]]</f>
        <v>71</v>
      </c>
      <c r="E52" t="s">
        <v>29</v>
      </c>
      <c r="F52" t="s">
        <v>32</v>
      </c>
      <c r="G52">
        <v>260</v>
      </c>
      <c r="H52" t="s">
        <v>28</v>
      </c>
      <c r="O52">
        <v>15</v>
      </c>
      <c r="Q52">
        <v>15</v>
      </c>
      <c r="R52">
        <v>20</v>
      </c>
      <c r="S52">
        <v>22</v>
      </c>
      <c r="T52">
        <v>24</v>
      </c>
      <c r="U52">
        <v>14</v>
      </c>
    </row>
    <row r="53" spans="1:23">
      <c r="A53">
        <v>52</v>
      </c>
      <c r="B53" s="1">
        <v>45384</v>
      </c>
      <c r="C53" s="1">
        <v>45440</v>
      </c>
      <c r="D53" s="29">
        <f>Tailordata[[#This Row],[DueDate]]-Tailordata[[#This Row],[Date]]</f>
        <v>56</v>
      </c>
      <c r="E53" t="s">
        <v>27</v>
      </c>
      <c r="F53" t="s">
        <v>25</v>
      </c>
      <c r="G53">
        <v>296</v>
      </c>
      <c r="H53" t="s">
        <v>34</v>
      </c>
      <c r="I53">
        <v>23</v>
      </c>
      <c r="J53">
        <v>48</v>
      </c>
      <c r="K53">
        <v>21</v>
      </c>
      <c r="L53">
        <v>17</v>
      </c>
      <c r="N53">
        <v>23</v>
      </c>
      <c r="O53">
        <v>15</v>
      </c>
      <c r="P53">
        <v>19</v>
      </c>
    </row>
    <row r="54" spans="1:23">
      <c r="A54">
        <v>53</v>
      </c>
      <c r="B54" s="1">
        <v>45314</v>
      </c>
      <c r="C54" s="1">
        <v>45429</v>
      </c>
      <c r="D54" s="29">
        <f>Tailordata[[#This Row],[DueDate]]-Tailordata[[#This Row],[Date]]</f>
        <v>115</v>
      </c>
      <c r="E54" t="s">
        <v>27</v>
      </c>
      <c r="F54" t="s">
        <v>36</v>
      </c>
      <c r="G54">
        <v>490</v>
      </c>
      <c r="H54" t="s">
        <v>24</v>
      </c>
      <c r="I54">
        <v>21</v>
      </c>
      <c r="J54">
        <v>29</v>
      </c>
      <c r="K54">
        <v>23</v>
      </c>
      <c r="L54">
        <v>22</v>
      </c>
      <c r="N54">
        <v>49</v>
      </c>
      <c r="O54">
        <v>20</v>
      </c>
      <c r="P54">
        <v>16</v>
      </c>
    </row>
    <row r="55" spans="1:23">
      <c r="A55">
        <v>54</v>
      </c>
      <c r="B55" s="1">
        <v>45350</v>
      </c>
      <c r="C55" s="1">
        <v>45435</v>
      </c>
      <c r="D55" s="29">
        <f>Tailordata[[#This Row],[DueDate]]-Tailordata[[#This Row],[Date]]</f>
        <v>85</v>
      </c>
      <c r="E55" t="s">
        <v>27</v>
      </c>
      <c r="F55" t="s">
        <v>36</v>
      </c>
      <c r="G55">
        <v>294</v>
      </c>
      <c r="H55" t="s">
        <v>28</v>
      </c>
      <c r="I55">
        <v>14</v>
      </c>
      <c r="J55">
        <v>27</v>
      </c>
      <c r="K55">
        <v>15</v>
      </c>
      <c r="L55">
        <v>20</v>
      </c>
      <c r="N55">
        <v>47</v>
      </c>
      <c r="O55">
        <v>21</v>
      </c>
      <c r="P55">
        <v>14</v>
      </c>
    </row>
    <row r="56" spans="1:23">
      <c r="A56">
        <v>55</v>
      </c>
      <c r="B56" s="1">
        <v>45324</v>
      </c>
      <c r="C56" s="1">
        <v>45435</v>
      </c>
      <c r="D56" s="29">
        <f>Tailordata[[#This Row],[DueDate]]-Tailordata[[#This Row],[Date]]</f>
        <v>111</v>
      </c>
      <c r="E56" t="s">
        <v>22</v>
      </c>
      <c r="F56" t="s">
        <v>32</v>
      </c>
      <c r="G56">
        <v>495</v>
      </c>
      <c r="H56" t="s">
        <v>34</v>
      </c>
      <c r="I56">
        <v>24</v>
      </c>
      <c r="J56">
        <v>27</v>
      </c>
      <c r="K56">
        <v>14</v>
      </c>
      <c r="L56">
        <v>15</v>
      </c>
      <c r="M56">
        <v>16</v>
      </c>
    </row>
    <row r="57" spans="1:23">
      <c r="A57">
        <v>56</v>
      </c>
      <c r="B57" s="1">
        <v>45380</v>
      </c>
      <c r="C57" s="1">
        <v>45436</v>
      </c>
      <c r="D57" s="29">
        <f>Tailordata[[#This Row],[DueDate]]-Tailordata[[#This Row],[Date]]</f>
        <v>56</v>
      </c>
      <c r="E57" t="s">
        <v>29</v>
      </c>
      <c r="F57" t="s">
        <v>30</v>
      </c>
      <c r="G57">
        <v>462</v>
      </c>
      <c r="H57" t="s">
        <v>26</v>
      </c>
      <c r="O57">
        <v>20</v>
      </c>
      <c r="Q57">
        <v>19</v>
      </c>
      <c r="R57">
        <v>20</v>
      </c>
      <c r="S57">
        <v>18</v>
      </c>
      <c r="T57">
        <v>18</v>
      </c>
      <c r="U57">
        <v>15</v>
      </c>
    </row>
    <row r="58" spans="1:23">
      <c r="A58">
        <v>57</v>
      </c>
      <c r="B58" s="1">
        <v>45363</v>
      </c>
      <c r="C58" s="1">
        <v>45435</v>
      </c>
      <c r="D58" s="29">
        <f>Tailordata[[#This Row],[DueDate]]-Tailordata[[#This Row],[Date]]</f>
        <v>72</v>
      </c>
      <c r="E58" t="s">
        <v>29</v>
      </c>
      <c r="F58" t="s">
        <v>32</v>
      </c>
      <c r="G58">
        <v>253</v>
      </c>
      <c r="H58" t="s">
        <v>31</v>
      </c>
      <c r="O58">
        <v>24</v>
      </c>
      <c r="Q58">
        <v>17</v>
      </c>
      <c r="R58">
        <v>22</v>
      </c>
      <c r="S58">
        <v>16</v>
      </c>
      <c r="T58">
        <v>23</v>
      </c>
      <c r="U58">
        <v>19</v>
      </c>
    </row>
    <row r="59" spans="1:23">
      <c r="A59">
        <v>58</v>
      </c>
      <c r="B59" s="1">
        <v>45355</v>
      </c>
      <c r="C59" s="1">
        <v>45430</v>
      </c>
      <c r="D59" s="29">
        <f>Tailordata[[#This Row],[DueDate]]-Tailordata[[#This Row],[Date]]</f>
        <v>75</v>
      </c>
      <c r="E59" t="s">
        <v>29</v>
      </c>
      <c r="F59" t="s">
        <v>25</v>
      </c>
      <c r="G59">
        <v>230</v>
      </c>
      <c r="H59" t="s">
        <v>28</v>
      </c>
      <c r="O59">
        <v>19</v>
      </c>
      <c r="Q59">
        <v>21</v>
      </c>
      <c r="R59">
        <v>21</v>
      </c>
      <c r="S59">
        <v>15</v>
      </c>
      <c r="T59">
        <v>22</v>
      </c>
      <c r="U59">
        <v>18</v>
      </c>
    </row>
    <row r="60" spans="1:23">
      <c r="A60">
        <v>59</v>
      </c>
      <c r="B60" s="1">
        <v>45312</v>
      </c>
      <c r="C60" s="1">
        <v>45431</v>
      </c>
      <c r="D60" s="29">
        <f>Tailordata[[#This Row],[DueDate]]-Tailordata[[#This Row],[Date]]</f>
        <v>119</v>
      </c>
      <c r="E60" t="s">
        <v>22</v>
      </c>
      <c r="F60" t="s">
        <v>23</v>
      </c>
      <c r="G60">
        <v>294</v>
      </c>
      <c r="H60" t="s">
        <v>28</v>
      </c>
      <c r="I60">
        <v>21</v>
      </c>
      <c r="J60">
        <v>24</v>
      </c>
      <c r="K60">
        <v>22</v>
      </c>
      <c r="L60">
        <v>15</v>
      </c>
      <c r="M60">
        <v>23</v>
      </c>
    </row>
    <row r="61" spans="1:23">
      <c r="A61">
        <v>60</v>
      </c>
      <c r="B61" s="1">
        <v>45409</v>
      </c>
      <c r="C61" s="1">
        <v>45437</v>
      </c>
      <c r="D61" s="29">
        <f>Tailordata[[#This Row],[DueDate]]-Tailordata[[#This Row],[Date]]</f>
        <v>28</v>
      </c>
      <c r="E61" t="s">
        <v>35</v>
      </c>
      <c r="F61" t="s">
        <v>25</v>
      </c>
      <c r="G61">
        <v>448</v>
      </c>
      <c r="H61" t="s">
        <v>28</v>
      </c>
      <c r="O61">
        <v>15</v>
      </c>
      <c r="P61">
        <v>18</v>
      </c>
      <c r="Q61">
        <v>15</v>
      </c>
      <c r="R61">
        <v>18</v>
      </c>
      <c r="U61">
        <v>22</v>
      </c>
      <c r="V61">
        <v>22</v>
      </c>
      <c r="W61">
        <v>21</v>
      </c>
    </row>
    <row r="62" spans="1:23">
      <c r="A62">
        <v>61</v>
      </c>
      <c r="B62" s="1">
        <v>45369</v>
      </c>
      <c r="C62" s="1">
        <v>45425</v>
      </c>
      <c r="D62" s="29">
        <f>Tailordata[[#This Row],[DueDate]]-Tailordata[[#This Row],[Date]]</f>
        <v>56</v>
      </c>
      <c r="E62" t="s">
        <v>35</v>
      </c>
      <c r="F62" t="s">
        <v>32</v>
      </c>
      <c r="G62">
        <v>224</v>
      </c>
      <c r="H62" t="s">
        <v>26</v>
      </c>
      <c r="O62">
        <v>18</v>
      </c>
      <c r="P62">
        <v>16</v>
      </c>
      <c r="Q62">
        <v>14</v>
      </c>
      <c r="R62">
        <v>15</v>
      </c>
      <c r="U62">
        <v>15</v>
      </c>
      <c r="V62">
        <v>21</v>
      </c>
      <c r="W62">
        <v>23</v>
      </c>
    </row>
    <row r="63" spans="1:23">
      <c r="A63">
        <v>62</v>
      </c>
      <c r="B63" s="1">
        <v>45396</v>
      </c>
      <c r="C63" s="1">
        <v>45437</v>
      </c>
      <c r="D63" s="29">
        <f>Tailordata[[#This Row],[DueDate]]-Tailordata[[#This Row],[Date]]</f>
        <v>41</v>
      </c>
      <c r="E63" t="s">
        <v>33</v>
      </c>
      <c r="F63" t="s">
        <v>25</v>
      </c>
      <c r="G63">
        <v>309</v>
      </c>
      <c r="H63" t="s">
        <v>24</v>
      </c>
      <c r="I63">
        <v>19</v>
      </c>
      <c r="J63">
        <v>39</v>
      </c>
      <c r="K63">
        <v>24</v>
      </c>
      <c r="L63">
        <v>15</v>
      </c>
      <c r="M63">
        <v>17</v>
      </c>
      <c r="N63">
        <v>28</v>
      </c>
      <c r="O63">
        <v>18</v>
      </c>
      <c r="Q63">
        <v>21</v>
      </c>
      <c r="R63">
        <v>16</v>
      </c>
    </row>
    <row r="64" spans="1:23">
      <c r="A64">
        <v>63</v>
      </c>
      <c r="B64" s="1">
        <v>45393</v>
      </c>
      <c r="C64" s="1">
        <v>45427</v>
      </c>
      <c r="D64" s="29">
        <f>Tailordata[[#This Row],[DueDate]]-Tailordata[[#This Row],[Date]]</f>
        <v>34</v>
      </c>
      <c r="E64" t="s">
        <v>29</v>
      </c>
      <c r="F64" t="s">
        <v>23</v>
      </c>
      <c r="G64">
        <v>140</v>
      </c>
      <c r="H64" t="s">
        <v>34</v>
      </c>
      <c r="O64">
        <v>15</v>
      </c>
      <c r="Q64">
        <v>19</v>
      </c>
      <c r="R64">
        <v>15</v>
      </c>
      <c r="S64">
        <v>14</v>
      </c>
      <c r="T64">
        <v>18</v>
      </c>
      <c r="U64">
        <v>21</v>
      </c>
    </row>
    <row r="65" spans="1:23">
      <c r="A65">
        <v>64</v>
      </c>
      <c r="B65" s="1">
        <v>45325</v>
      </c>
      <c r="C65" s="1">
        <v>45416</v>
      </c>
      <c r="D65" s="29">
        <f>Tailordata[[#This Row],[DueDate]]-Tailordata[[#This Row],[Date]]</f>
        <v>91</v>
      </c>
      <c r="E65" t="s">
        <v>35</v>
      </c>
      <c r="F65" t="s">
        <v>30</v>
      </c>
      <c r="G65">
        <v>100</v>
      </c>
      <c r="H65" t="s">
        <v>34</v>
      </c>
      <c r="O65">
        <v>20</v>
      </c>
      <c r="P65">
        <v>20</v>
      </c>
      <c r="Q65">
        <v>18</v>
      </c>
      <c r="R65">
        <v>15</v>
      </c>
      <c r="U65">
        <v>21</v>
      </c>
      <c r="V65">
        <v>20</v>
      </c>
      <c r="W65">
        <v>14</v>
      </c>
    </row>
    <row r="66" spans="1:23">
      <c r="A66">
        <v>65</v>
      </c>
      <c r="B66" s="1">
        <v>45299</v>
      </c>
      <c r="C66" s="1">
        <v>45433</v>
      </c>
      <c r="D66" s="29">
        <f>Tailordata[[#This Row],[DueDate]]-Tailordata[[#This Row],[Date]]</f>
        <v>134</v>
      </c>
      <c r="E66" t="s">
        <v>35</v>
      </c>
      <c r="F66" t="s">
        <v>36</v>
      </c>
      <c r="G66">
        <v>404</v>
      </c>
      <c r="H66" t="s">
        <v>26</v>
      </c>
      <c r="O66">
        <v>21</v>
      </c>
      <c r="P66">
        <v>24</v>
      </c>
      <c r="Q66">
        <v>14</v>
      </c>
      <c r="R66">
        <v>20</v>
      </c>
      <c r="U66">
        <v>14</v>
      </c>
      <c r="V66">
        <v>19</v>
      </c>
      <c r="W66">
        <v>18</v>
      </c>
    </row>
    <row r="67" spans="1:23">
      <c r="A67">
        <v>66</v>
      </c>
      <c r="B67" s="1">
        <v>45302</v>
      </c>
      <c r="C67" s="1">
        <v>45415</v>
      </c>
      <c r="D67" s="29">
        <f>Tailordata[[#This Row],[DueDate]]-Tailordata[[#This Row],[Date]]</f>
        <v>113</v>
      </c>
      <c r="E67" t="s">
        <v>29</v>
      </c>
      <c r="F67" t="s">
        <v>23</v>
      </c>
      <c r="G67">
        <v>61</v>
      </c>
      <c r="H67" t="s">
        <v>34</v>
      </c>
      <c r="O67">
        <v>18</v>
      </c>
      <c r="Q67">
        <v>18</v>
      </c>
      <c r="R67">
        <v>16</v>
      </c>
      <c r="S67">
        <v>14</v>
      </c>
      <c r="T67">
        <v>18</v>
      </c>
      <c r="U67">
        <v>20</v>
      </c>
    </row>
    <row r="68" spans="1:23">
      <c r="A68">
        <v>67</v>
      </c>
      <c r="B68" s="1">
        <v>45311</v>
      </c>
      <c r="C68" s="1">
        <v>45423</v>
      </c>
      <c r="D68" s="29">
        <f>Tailordata[[#This Row],[DueDate]]-Tailordata[[#This Row],[Date]]</f>
        <v>112</v>
      </c>
      <c r="E68" t="s">
        <v>22</v>
      </c>
      <c r="F68" t="s">
        <v>32</v>
      </c>
      <c r="G68">
        <v>195</v>
      </c>
      <c r="H68" t="s">
        <v>24</v>
      </c>
      <c r="I68">
        <v>24</v>
      </c>
      <c r="J68">
        <v>41</v>
      </c>
      <c r="K68">
        <v>20</v>
      </c>
      <c r="L68">
        <v>20</v>
      </c>
      <c r="M68">
        <v>20</v>
      </c>
    </row>
    <row r="69" spans="1:23">
      <c r="A69">
        <v>68</v>
      </c>
      <c r="B69" s="1">
        <v>45404</v>
      </c>
      <c r="C69" s="1">
        <v>45423</v>
      </c>
      <c r="D69" s="29">
        <f>Tailordata[[#This Row],[DueDate]]-Tailordata[[#This Row],[Date]]</f>
        <v>19</v>
      </c>
      <c r="E69" t="s">
        <v>33</v>
      </c>
      <c r="F69" t="s">
        <v>30</v>
      </c>
      <c r="G69">
        <v>355</v>
      </c>
      <c r="H69" t="s">
        <v>26</v>
      </c>
      <c r="I69">
        <v>14</v>
      </c>
      <c r="J69">
        <v>49</v>
      </c>
      <c r="K69">
        <v>15</v>
      </c>
      <c r="L69">
        <v>22</v>
      </c>
      <c r="M69">
        <v>15</v>
      </c>
      <c r="N69">
        <v>46</v>
      </c>
      <c r="O69">
        <v>15</v>
      </c>
      <c r="Q69">
        <v>14</v>
      </c>
      <c r="R69">
        <v>18</v>
      </c>
    </row>
    <row r="70" spans="1:23">
      <c r="A70">
        <v>69</v>
      </c>
      <c r="B70" s="1">
        <v>45400</v>
      </c>
      <c r="C70" s="1">
        <v>45417</v>
      </c>
      <c r="D70" s="29">
        <f>Tailordata[[#This Row],[DueDate]]-Tailordata[[#This Row],[Date]]</f>
        <v>17</v>
      </c>
      <c r="E70" t="s">
        <v>29</v>
      </c>
      <c r="F70" t="s">
        <v>32</v>
      </c>
      <c r="G70">
        <v>434</v>
      </c>
      <c r="H70" t="s">
        <v>28</v>
      </c>
      <c r="O70">
        <v>17</v>
      </c>
      <c r="Q70">
        <v>21</v>
      </c>
      <c r="R70">
        <v>23</v>
      </c>
      <c r="S70">
        <v>20</v>
      </c>
      <c r="T70">
        <v>22</v>
      </c>
      <c r="U70">
        <v>22</v>
      </c>
    </row>
    <row r="71" spans="1:23">
      <c r="A71">
        <v>70</v>
      </c>
      <c r="B71" s="1">
        <v>45303</v>
      </c>
      <c r="C71" s="1">
        <v>45432</v>
      </c>
      <c r="D71" s="29">
        <f>Tailordata[[#This Row],[DueDate]]-Tailordata[[#This Row],[Date]]</f>
        <v>129</v>
      </c>
      <c r="E71" t="s">
        <v>33</v>
      </c>
      <c r="F71" t="s">
        <v>36</v>
      </c>
      <c r="G71">
        <v>74</v>
      </c>
      <c r="H71" t="s">
        <v>28</v>
      </c>
      <c r="I71">
        <v>24</v>
      </c>
      <c r="J71">
        <v>50</v>
      </c>
      <c r="K71">
        <v>17</v>
      </c>
      <c r="L71">
        <v>14</v>
      </c>
      <c r="M71">
        <v>15</v>
      </c>
      <c r="N71">
        <v>41</v>
      </c>
      <c r="O71">
        <v>19</v>
      </c>
      <c r="Q71">
        <v>20</v>
      </c>
      <c r="R71">
        <v>17</v>
      </c>
    </row>
    <row r="72" spans="1:23">
      <c r="A72">
        <v>71</v>
      </c>
      <c r="B72" s="1">
        <v>45313</v>
      </c>
      <c r="C72" s="1">
        <v>45440</v>
      </c>
      <c r="D72" s="29">
        <f>Tailordata[[#This Row],[DueDate]]-Tailordata[[#This Row],[Date]]</f>
        <v>127</v>
      </c>
      <c r="E72" t="s">
        <v>35</v>
      </c>
      <c r="F72" t="s">
        <v>36</v>
      </c>
      <c r="G72">
        <v>281</v>
      </c>
      <c r="H72" t="s">
        <v>31</v>
      </c>
      <c r="O72">
        <v>16</v>
      </c>
      <c r="P72">
        <v>19</v>
      </c>
      <c r="Q72">
        <v>20</v>
      </c>
      <c r="R72">
        <v>22</v>
      </c>
      <c r="U72">
        <v>15</v>
      </c>
      <c r="V72">
        <v>23</v>
      </c>
      <c r="W72">
        <v>15</v>
      </c>
    </row>
    <row r="73" spans="1:23">
      <c r="A73">
        <v>72</v>
      </c>
      <c r="B73" s="1">
        <v>45366</v>
      </c>
      <c r="C73" s="1">
        <v>45433</v>
      </c>
      <c r="D73" s="29">
        <f>Tailordata[[#This Row],[DueDate]]-Tailordata[[#This Row],[Date]]</f>
        <v>67</v>
      </c>
      <c r="E73" t="s">
        <v>27</v>
      </c>
      <c r="F73" t="s">
        <v>30</v>
      </c>
      <c r="G73">
        <v>327</v>
      </c>
      <c r="H73" t="s">
        <v>24</v>
      </c>
      <c r="I73">
        <v>20</v>
      </c>
      <c r="J73">
        <v>48</v>
      </c>
      <c r="K73">
        <v>18</v>
      </c>
      <c r="L73">
        <v>15</v>
      </c>
      <c r="N73">
        <v>45</v>
      </c>
      <c r="O73">
        <v>24</v>
      </c>
      <c r="P73">
        <v>17</v>
      </c>
    </row>
    <row r="74" spans="1:23">
      <c r="A74">
        <v>73</v>
      </c>
      <c r="B74" s="1">
        <v>45388</v>
      </c>
      <c r="C74" s="1">
        <v>45420</v>
      </c>
      <c r="D74" s="29">
        <f>Tailordata[[#This Row],[DueDate]]-Tailordata[[#This Row],[Date]]</f>
        <v>32</v>
      </c>
      <c r="E74" t="s">
        <v>33</v>
      </c>
      <c r="F74" t="s">
        <v>25</v>
      </c>
      <c r="G74">
        <v>149</v>
      </c>
      <c r="H74" t="s">
        <v>31</v>
      </c>
      <c r="I74">
        <v>23</v>
      </c>
      <c r="J74">
        <v>47</v>
      </c>
      <c r="K74">
        <v>20</v>
      </c>
      <c r="L74">
        <v>21</v>
      </c>
      <c r="M74">
        <v>23</v>
      </c>
      <c r="N74">
        <v>41</v>
      </c>
      <c r="O74">
        <v>19</v>
      </c>
      <c r="Q74">
        <v>14</v>
      </c>
      <c r="R74">
        <v>21</v>
      </c>
    </row>
    <row r="75" spans="1:23">
      <c r="A75">
        <v>74</v>
      </c>
      <c r="B75" s="1">
        <v>45393</v>
      </c>
      <c r="C75" s="1">
        <v>45421</v>
      </c>
      <c r="D75" s="29">
        <f>Tailordata[[#This Row],[DueDate]]-Tailordata[[#This Row],[Date]]</f>
        <v>28</v>
      </c>
      <c r="E75" t="s">
        <v>35</v>
      </c>
      <c r="F75" t="s">
        <v>25</v>
      </c>
      <c r="G75">
        <v>85</v>
      </c>
      <c r="H75" t="s">
        <v>31</v>
      </c>
      <c r="O75">
        <v>16</v>
      </c>
      <c r="P75">
        <v>15</v>
      </c>
      <c r="Q75">
        <v>21</v>
      </c>
      <c r="R75">
        <v>20</v>
      </c>
      <c r="U75">
        <v>17</v>
      </c>
      <c r="V75">
        <v>14</v>
      </c>
      <c r="W75">
        <v>15</v>
      </c>
    </row>
    <row r="76" spans="1:23">
      <c r="A76">
        <v>75</v>
      </c>
      <c r="B76" s="1">
        <v>45307</v>
      </c>
      <c r="C76" s="1">
        <v>45428</v>
      </c>
      <c r="D76" s="29">
        <f>Tailordata[[#This Row],[DueDate]]-Tailordata[[#This Row],[Date]]</f>
        <v>121</v>
      </c>
      <c r="E76" t="s">
        <v>33</v>
      </c>
      <c r="F76" t="s">
        <v>36</v>
      </c>
      <c r="G76">
        <v>134</v>
      </c>
      <c r="H76" t="s">
        <v>34</v>
      </c>
      <c r="I76">
        <v>21</v>
      </c>
      <c r="J76">
        <v>23</v>
      </c>
      <c r="K76">
        <v>14</v>
      </c>
      <c r="L76">
        <v>23</v>
      </c>
      <c r="M76">
        <v>19</v>
      </c>
      <c r="N76">
        <v>36</v>
      </c>
      <c r="O76">
        <v>19</v>
      </c>
      <c r="Q76">
        <v>19</v>
      </c>
      <c r="R76">
        <v>19</v>
      </c>
    </row>
    <row r="77" spans="1:23">
      <c r="A77">
        <v>76</v>
      </c>
      <c r="B77" s="1">
        <v>45385</v>
      </c>
      <c r="C77" s="1">
        <v>45438</v>
      </c>
      <c r="D77" s="29">
        <f>Tailordata[[#This Row],[DueDate]]-Tailordata[[#This Row],[Date]]</f>
        <v>53</v>
      </c>
      <c r="E77" t="s">
        <v>22</v>
      </c>
      <c r="F77" t="s">
        <v>32</v>
      </c>
      <c r="G77">
        <v>156</v>
      </c>
      <c r="H77" t="s">
        <v>31</v>
      </c>
      <c r="I77">
        <v>17</v>
      </c>
      <c r="J77">
        <v>43</v>
      </c>
      <c r="K77">
        <v>21</v>
      </c>
      <c r="L77">
        <v>24</v>
      </c>
      <c r="M77">
        <v>20</v>
      </c>
    </row>
    <row r="78" spans="1:23">
      <c r="A78">
        <v>77</v>
      </c>
      <c r="B78" s="1">
        <v>45385</v>
      </c>
      <c r="C78" s="1">
        <v>45431</v>
      </c>
      <c r="D78" s="29">
        <f>Tailordata[[#This Row],[DueDate]]-Tailordata[[#This Row],[Date]]</f>
        <v>46</v>
      </c>
      <c r="E78" t="s">
        <v>22</v>
      </c>
      <c r="F78" t="s">
        <v>36</v>
      </c>
      <c r="G78">
        <v>209</v>
      </c>
      <c r="H78" t="s">
        <v>24</v>
      </c>
      <c r="I78">
        <v>22</v>
      </c>
      <c r="J78">
        <v>24</v>
      </c>
      <c r="K78">
        <v>24</v>
      </c>
      <c r="L78">
        <v>23</v>
      </c>
      <c r="M78">
        <v>18</v>
      </c>
    </row>
    <row r="79" spans="1:23">
      <c r="A79">
        <v>78</v>
      </c>
      <c r="B79" s="1">
        <v>45353</v>
      </c>
      <c r="C79" s="1">
        <v>45417</v>
      </c>
      <c r="D79" s="29">
        <f>Tailordata[[#This Row],[DueDate]]-Tailordata[[#This Row],[Date]]</f>
        <v>64</v>
      </c>
      <c r="E79" t="s">
        <v>35</v>
      </c>
      <c r="F79" t="s">
        <v>36</v>
      </c>
      <c r="G79">
        <v>362</v>
      </c>
      <c r="H79" t="s">
        <v>31</v>
      </c>
      <c r="O79">
        <v>18</v>
      </c>
      <c r="P79">
        <v>20</v>
      </c>
      <c r="Q79">
        <v>14</v>
      </c>
      <c r="R79">
        <v>22</v>
      </c>
      <c r="U79">
        <v>24</v>
      </c>
      <c r="V79">
        <v>23</v>
      </c>
      <c r="W79">
        <v>22</v>
      </c>
    </row>
    <row r="80" spans="1:23">
      <c r="A80">
        <v>79</v>
      </c>
      <c r="B80" s="1">
        <v>45362</v>
      </c>
      <c r="C80" s="1">
        <v>45425</v>
      </c>
      <c r="D80" s="29">
        <f>Tailordata[[#This Row],[DueDate]]-Tailordata[[#This Row],[Date]]</f>
        <v>63</v>
      </c>
      <c r="E80" t="s">
        <v>27</v>
      </c>
      <c r="F80" t="s">
        <v>32</v>
      </c>
      <c r="G80">
        <v>85</v>
      </c>
      <c r="H80" t="s">
        <v>24</v>
      </c>
      <c r="I80">
        <v>21</v>
      </c>
      <c r="J80">
        <v>33</v>
      </c>
      <c r="K80">
        <v>15</v>
      </c>
      <c r="L80">
        <v>18</v>
      </c>
      <c r="N80">
        <v>50</v>
      </c>
      <c r="O80">
        <v>21</v>
      </c>
      <c r="P80">
        <v>18</v>
      </c>
    </row>
    <row r="81" spans="1:23">
      <c r="A81">
        <v>80</v>
      </c>
      <c r="B81" s="1">
        <v>45310</v>
      </c>
      <c r="C81" s="1">
        <v>45412</v>
      </c>
      <c r="D81" s="29">
        <f>Tailordata[[#This Row],[DueDate]]-Tailordata[[#This Row],[Date]]</f>
        <v>102</v>
      </c>
      <c r="E81" t="s">
        <v>29</v>
      </c>
      <c r="F81" t="s">
        <v>23</v>
      </c>
      <c r="G81">
        <v>114</v>
      </c>
      <c r="H81" t="s">
        <v>24</v>
      </c>
      <c r="O81">
        <v>23</v>
      </c>
      <c r="Q81">
        <v>24</v>
      </c>
      <c r="R81">
        <v>24</v>
      </c>
      <c r="S81">
        <v>23</v>
      </c>
      <c r="T81">
        <v>22</v>
      </c>
      <c r="U81">
        <v>19</v>
      </c>
    </row>
    <row r="82" spans="1:23">
      <c r="A82">
        <v>81</v>
      </c>
      <c r="B82" s="1">
        <v>45402</v>
      </c>
      <c r="C82" s="1">
        <v>45424</v>
      </c>
      <c r="D82" s="29">
        <f>Tailordata[[#This Row],[DueDate]]-Tailordata[[#This Row],[Date]]</f>
        <v>22</v>
      </c>
      <c r="E82" t="s">
        <v>35</v>
      </c>
      <c r="F82" t="s">
        <v>23</v>
      </c>
      <c r="G82">
        <v>313</v>
      </c>
      <c r="H82" t="s">
        <v>26</v>
      </c>
      <c r="O82">
        <v>21</v>
      </c>
      <c r="P82">
        <v>24</v>
      </c>
      <c r="Q82">
        <v>18</v>
      </c>
      <c r="R82">
        <v>14</v>
      </c>
      <c r="U82">
        <v>16</v>
      </c>
      <c r="V82">
        <v>14</v>
      </c>
      <c r="W82">
        <v>14</v>
      </c>
    </row>
    <row r="83" spans="1:23">
      <c r="A83">
        <v>82</v>
      </c>
      <c r="B83" s="1">
        <v>45370</v>
      </c>
      <c r="C83" s="1">
        <v>45435</v>
      </c>
      <c r="D83" s="29">
        <f>Tailordata[[#This Row],[DueDate]]-Tailordata[[#This Row],[Date]]</f>
        <v>65</v>
      </c>
      <c r="E83" t="s">
        <v>22</v>
      </c>
      <c r="F83" t="s">
        <v>23</v>
      </c>
      <c r="G83">
        <v>255</v>
      </c>
      <c r="H83" t="s">
        <v>26</v>
      </c>
      <c r="I83">
        <v>16</v>
      </c>
      <c r="J83">
        <v>22</v>
      </c>
      <c r="K83">
        <v>18</v>
      </c>
      <c r="L83">
        <v>18</v>
      </c>
      <c r="M83">
        <v>23</v>
      </c>
    </row>
    <row r="84" spans="1:23">
      <c r="A84">
        <v>83</v>
      </c>
      <c r="B84" s="1">
        <v>45387</v>
      </c>
      <c r="C84" s="1">
        <v>45427</v>
      </c>
      <c r="D84" s="29">
        <f>Tailordata[[#This Row],[DueDate]]-Tailordata[[#This Row],[Date]]</f>
        <v>40</v>
      </c>
      <c r="E84" t="s">
        <v>33</v>
      </c>
      <c r="F84" t="s">
        <v>23</v>
      </c>
      <c r="G84">
        <v>82</v>
      </c>
      <c r="H84" t="s">
        <v>24</v>
      </c>
      <c r="I84">
        <v>14</v>
      </c>
      <c r="J84">
        <v>38</v>
      </c>
      <c r="K84">
        <v>18</v>
      </c>
      <c r="L84">
        <v>18</v>
      </c>
      <c r="M84">
        <v>23</v>
      </c>
      <c r="N84">
        <v>34</v>
      </c>
      <c r="O84">
        <v>22</v>
      </c>
      <c r="Q84">
        <v>17</v>
      </c>
      <c r="R84">
        <v>19</v>
      </c>
    </row>
    <row r="85" spans="1:23">
      <c r="A85">
        <v>84</v>
      </c>
      <c r="B85" s="1">
        <v>45398</v>
      </c>
      <c r="C85" s="1">
        <v>45414</v>
      </c>
      <c r="D85" s="29">
        <f>Tailordata[[#This Row],[DueDate]]-Tailordata[[#This Row],[Date]]</f>
        <v>16</v>
      </c>
      <c r="E85" t="s">
        <v>29</v>
      </c>
      <c r="F85" t="s">
        <v>23</v>
      </c>
      <c r="G85">
        <v>63</v>
      </c>
      <c r="H85" t="s">
        <v>26</v>
      </c>
      <c r="O85">
        <v>15</v>
      </c>
      <c r="Q85">
        <v>24</v>
      </c>
      <c r="R85">
        <v>18</v>
      </c>
      <c r="S85">
        <v>21</v>
      </c>
      <c r="T85">
        <v>19</v>
      </c>
      <c r="U85">
        <v>19</v>
      </c>
    </row>
    <row r="86" spans="1:23">
      <c r="A86">
        <v>85</v>
      </c>
      <c r="B86" s="1">
        <v>45337</v>
      </c>
      <c r="C86" s="1">
        <v>45422</v>
      </c>
      <c r="D86" s="29">
        <f>Tailordata[[#This Row],[DueDate]]-Tailordata[[#This Row],[Date]]</f>
        <v>85</v>
      </c>
      <c r="E86" t="s">
        <v>29</v>
      </c>
      <c r="F86" t="s">
        <v>30</v>
      </c>
      <c r="G86">
        <v>458</v>
      </c>
      <c r="H86" t="s">
        <v>26</v>
      </c>
      <c r="O86">
        <v>15</v>
      </c>
      <c r="Q86">
        <v>18</v>
      </c>
      <c r="R86">
        <v>17</v>
      </c>
      <c r="S86">
        <v>23</v>
      </c>
      <c r="T86">
        <v>17</v>
      </c>
      <c r="U86">
        <v>15</v>
      </c>
    </row>
    <row r="87" spans="1:23">
      <c r="A87">
        <v>86</v>
      </c>
      <c r="B87" s="1">
        <v>45348</v>
      </c>
      <c r="C87" s="1">
        <v>45413</v>
      </c>
      <c r="D87" s="29">
        <f>Tailordata[[#This Row],[DueDate]]-Tailordata[[#This Row],[Date]]</f>
        <v>65</v>
      </c>
      <c r="E87" t="s">
        <v>27</v>
      </c>
      <c r="F87" t="s">
        <v>32</v>
      </c>
      <c r="G87">
        <v>245</v>
      </c>
      <c r="H87" t="s">
        <v>26</v>
      </c>
      <c r="I87">
        <v>18</v>
      </c>
      <c r="J87">
        <v>32</v>
      </c>
      <c r="K87">
        <v>14</v>
      </c>
      <c r="L87">
        <v>22</v>
      </c>
      <c r="N87">
        <v>28</v>
      </c>
      <c r="O87">
        <v>16</v>
      </c>
      <c r="P87">
        <v>21</v>
      </c>
    </row>
    <row r="88" spans="1:23">
      <c r="A88">
        <v>87</v>
      </c>
      <c r="B88" s="1">
        <v>45348</v>
      </c>
      <c r="C88" s="1">
        <v>45424</v>
      </c>
      <c r="D88" s="29">
        <f>Tailordata[[#This Row],[DueDate]]-Tailordata[[#This Row],[Date]]</f>
        <v>76</v>
      </c>
      <c r="E88" t="s">
        <v>35</v>
      </c>
      <c r="F88" t="s">
        <v>36</v>
      </c>
      <c r="G88">
        <v>320</v>
      </c>
      <c r="H88" t="s">
        <v>31</v>
      </c>
      <c r="O88">
        <v>16</v>
      </c>
      <c r="P88">
        <v>16</v>
      </c>
      <c r="Q88">
        <v>20</v>
      </c>
      <c r="R88">
        <v>24</v>
      </c>
      <c r="U88">
        <v>18</v>
      </c>
      <c r="V88">
        <v>19</v>
      </c>
      <c r="W88">
        <v>24</v>
      </c>
    </row>
    <row r="89" spans="1:23">
      <c r="A89">
        <v>88</v>
      </c>
      <c r="B89" s="1">
        <v>45389</v>
      </c>
      <c r="C89" s="1">
        <v>45411</v>
      </c>
      <c r="D89" s="29">
        <f>Tailordata[[#This Row],[DueDate]]-Tailordata[[#This Row],[Date]]</f>
        <v>22</v>
      </c>
      <c r="E89" t="s">
        <v>22</v>
      </c>
      <c r="F89" t="s">
        <v>36</v>
      </c>
      <c r="G89">
        <v>148</v>
      </c>
      <c r="H89" t="s">
        <v>26</v>
      </c>
      <c r="I89">
        <v>14</v>
      </c>
      <c r="J89">
        <v>31</v>
      </c>
      <c r="K89">
        <v>21</v>
      </c>
      <c r="L89">
        <v>16</v>
      </c>
      <c r="M89">
        <v>15</v>
      </c>
    </row>
    <row r="90" spans="1:23">
      <c r="A90">
        <v>89</v>
      </c>
      <c r="B90" s="1">
        <v>45322</v>
      </c>
      <c r="C90" s="1">
        <v>45432</v>
      </c>
      <c r="D90" s="29">
        <f>Tailordata[[#This Row],[DueDate]]-Tailordata[[#This Row],[Date]]</f>
        <v>110</v>
      </c>
      <c r="E90" t="s">
        <v>27</v>
      </c>
      <c r="F90" t="s">
        <v>30</v>
      </c>
      <c r="G90">
        <v>76</v>
      </c>
      <c r="H90" t="s">
        <v>28</v>
      </c>
      <c r="I90">
        <v>14</v>
      </c>
      <c r="J90">
        <v>48</v>
      </c>
      <c r="K90">
        <v>21</v>
      </c>
      <c r="L90">
        <v>20</v>
      </c>
      <c r="N90">
        <v>46</v>
      </c>
      <c r="O90">
        <v>20</v>
      </c>
      <c r="P90">
        <v>15</v>
      </c>
    </row>
    <row r="91" spans="1:23">
      <c r="A91">
        <v>90</v>
      </c>
      <c r="B91" s="1">
        <v>45406</v>
      </c>
      <c r="C91" s="1">
        <v>45440</v>
      </c>
      <c r="D91" s="29">
        <f>Tailordata[[#This Row],[DueDate]]-Tailordata[[#This Row],[Date]]</f>
        <v>34</v>
      </c>
      <c r="E91" t="s">
        <v>35</v>
      </c>
      <c r="F91" t="s">
        <v>25</v>
      </c>
      <c r="G91">
        <v>184</v>
      </c>
      <c r="H91" t="s">
        <v>26</v>
      </c>
      <c r="O91">
        <v>18</v>
      </c>
      <c r="P91">
        <v>21</v>
      </c>
      <c r="Q91">
        <v>23</v>
      </c>
      <c r="R91">
        <v>21</v>
      </c>
      <c r="U91">
        <v>22</v>
      </c>
      <c r="V91">
        <v>19</v>
      </c>
      <c r="W91">
        <v>15</v>
      </c>
    </row>
    <row r="92" spans="1:23">
      <c r="A92">
        <v>91</v>
      </c>
      <c r="B92" s="1">
        <v>45376</v>
      </c>
      <c r="C92" s="1">
        <v>45435</v>
      </c>
      <c r="D92" s="29">
        <f>Tailordata[[#This Row],[DueDate]]-Tailordata[[#This Row],[Date]]</f>
        <v>59</v>
      </c>
      <c r="E92" t="s">
        <v>33</v>
      </c>
      <c r="F92" t="s">
        <v>32</v>
      </c>
      <c r="G92">
        <v>336</v>
      </c>
      <c r="H92" t="s">
        <v>31</v>
      </c>
      <c r="I92">
        <v>16</v>
      </c>
      <c r="J92">
        <v>25</v>
      </c>
      <c r="K92">
        <v>16</v>
      </c>
      <c r="L92">
        <v>23</v>
      </c>
      <c r="M92">
        <v>14</v>
      </c>
      <c r="N92">
        <v>34</v>
      </c>
      <c r="O92">
        <v>16</v>
      </c>
      <c r="Q92">
        <v>20</v>
      </c>
      <c r="R92">
        <v>24</v>
      </c>
    </row>
    <row r="93" spans="1:23">
      <c r="A93">
        <v>92</v>
      </c>
      <c r="B93" s="1">
        <v>45354</v>
      </c>
      <c r="C93" s="1">
        <v>45413</v>
      </c>
      <c r="D93" s="29">
        <f>Tailordata[[#This Row],[DueDate]]-Tailordata[[#This Row],[Date]]</f>
        <v>59</v>
      </c>
      <c r="E93" t="s">
        <v>35</v>
      </c>
      <c r="F93" t="s">
        <v>30</v>
      </c>
      <c r="G93">
        <v>368</v>
      </c>
      <c r="H93" t="s">
        <v>26</v>
      </c>
      <c r="O93">
        <v>24</v>
      </c>
      <c r="P93">
        <v>24</v>
      </c>
      <c r="Q93">
        <v>14</v>
      </c>
      <c r="R93">
        <v>19</v>
      </c>
      <c r="U93">
        <v>23</v>
      </c>
      <c r="V93">
        <v>19</v>
      </c>
      <c r="W93">
        <v>23</v>
      </c>
    </row>
    <row r="94" spans="1:23">
      <c r="A94">
        <v>93</v>
      </c>
      <c r="B94" s="1">
        <v>45406</v>
      </c>
      <c r="C94" s="1">
        <v>45427</v>
      </c>
      <c r="D94" s="29">
        <f>Tailordata[[#This Row],[DueDate]]-Tailordata[[#This Row],[Date]]</f>
        <v>21</v>
      </c>
      <c r="E94" t="s">
        <v>33</v>
      </c>
      <c r="F94" t="s">
        <v>23</v>
      </c>
      <c r="G94">
        <v>408</v>
      </c>
      <c r="H94" t="s">
        <v>28</v>
      </c>
      <c r="I94">
        <v>14</v>
      </c>
      <c r="J94">
        <v>22</v>
      </c>
      <c r="K94">
        <v>23</v>
      </c>
      <c r="L94">
        <v>21</v>
      </c>
      <c r="M94">
        <v>21</v>
      </c>
      <c r="N94">
        <v>41</v>
      </c>
      <c r="O94">
        <v>19</v>
      </c>
      <c r="Q94">
        <v>20</v>
      </c>
      <c r="R94">
        <v>22</v>
      </c>
    </row>
    <row r="95" spans="1:23">
      <c r="A95">
        <v>94</v>
      </c>
      <c r="B95" s="1">
        <v>45294</v>
      </c>
      <c r="C95" s="1">
        <v>45431</v>
      </c>
      <c r="D95" s="29">
        <f>Tailordata[[#This Row],[DueDate]]-Tailordata[[#This Row],[Date]]</f>
        <v>137</v>
      </c>
      <c r="E95" t="s">
        <v>22</v>
      </c>
      <c r="F95" t="s">
        <v>25</v>
      </c>
      <c r="G95">
        <v>175</v>
      </c>
      <c r="H95" t="s">
        <v>24</v>
      </c>
      <c r="I95">
        <v>16</v>
      </c>
      <c r="J95">
        <v>20</v>
      </c>
      <c r="K95">
        <v>22</v>
      </c>
      <c r="L95">
        <v>24</v>
      </c>
      <c r="M95">
        <v>23</v>
      </c>
    </row>
    <row r="96" spans="1:23">
      <c r="A96">
        <v>95</v>
      </c>
      <c r="B96" s="1">
        <v>45389</v>
      </c>
      <c r="C96" s="1">
        <v>45424</v>
      </c>
      <c r="D96" s="29">
        <f>Tailordata[[#This Row],[DueDate]]-Tailordata[[#This Row],[Date]]</f>
        <v>35</v>
      </c>
      <c r="E96" t="s">
        <v>27</v>
      </c>
      <c r="F96" t="s">
        <v>30</v>
      </c>
      <c r="G96">
        <v>189</v>
      </c>
      <c r="H96" t="s">
        <v>34</v>
      </c>
      <c r="I96">
        <v>14</v>
      </c>
      <c r="J96">
        <v>49</v>
      </c>
      <c r="K96">
        <v>19</v>
      </c>
      <c r="L96">
        <v>14</v>
      </c>
      <c r="N96">
        <v>33</v>
      </c>
      <c r="O96">
        <v>23</v>
      </c>
      <c r="P96">
        <v>20</v>
      </c>
    </row>
    <row r="97" spans="1:23">
      <c r="A97">
        <v>96</v>
      </c>
      <c r="B97" s="1">
        <v>45303</v>
      </c>
      <c r="C97" s="1">
        <v>45415</v>
      </c>
      <c r="D97" s="29">
        <f>Tailordata[[#This Row],[DueDate]]-Tailordata[[#This Row],[Date]]</f>
        <v>112</v>
      </c>
      <c r="E97" t="s">
        <v>22</v>
      </c>
      <c r="F97" t="s">
        <v>36</v>
      </c>
      <c r="G97">
        <v>380</v>
      </c>
      <c r="H97" t="s">
        <v>26</v>
      </c>
      <c r="I97">
        <v>14</v>
      </c>
      <c r="J97">
        <v>26</v>
      </c>
      <c r="K97">
        <v>23</v>
      </c>
      <c r="L97">
        <v>21</v>
      </c>
      <c r="M97">
        <v>15</v>
      </c>
    </row>
    <row r="98" spans="1:23">
      <c r="A98">
        <v>97</v>
      </c>
      <c r="B98" s="1">
        <v>45302</v>
      </c>
      <c r="C98" s="1">
        <v>45432</v>
      </c>
      <c r="D98" s="29">
        <f>Tailordata[[#This Row],[DueDate]]-Tailordata[[#This Row],[Date]]</f>
        <v>130</v>
      </c>
      <c r="E98" t="s">
        <v>29</v>
      </c>
      <c r="F98" t="s">
        <v>36</v>
      </c>
      <c r="G98">
        <v>265</v>
      </c>
      <c r="H98" t="s">
        <v>26</v>
      </c>
      <c r="O98">
        <v>17</v>
      </c>
      <c r="Q98">
        <v>19</v>
      </c>
      <c r="R98">
        <v>17</v>
      </c>
      <c r="S98">
        <v>20</v>
      </c>
      <c r="T98">
        <v>21</v>
      </c>
      <c r="U98">
        <v>24</v>
      </c>
    </row>
    <row r="99" spans="1:23">
      <c r="A99">
        <v>98</v>
      </c>
      <c r="B99" s="1">
        <v>45319</v>
      </c>
      <c r="C99" s="1">
        <v>45440</v>
      </c>
      <c r="D99" s="29">
        <f>Tailordata[[#This Row],[DueDate]]-Tailordata[[#This Row],[Date]]</f>
        <v>121</v>
      </c>
      <c r="E99" t="s">
        <v>35</v>
      </c>
      <c r="F99" t="s">
        <v>23</v>
      </c>
      <c r="G99">
        <v>411</v>
      </c>
      <c r="H99" t="s">
        <v>31</v>
      </c>
      <c r="O99">
        <v>14</v>
      </c>
      <c r="P99">
        <v>15</v>
      </c>
      <c r="Q99">
        <v>18</v>
      </c>
      <c r="R99">
        <v>19</v>
      </c>
      <c r="U99">
        <v>15</v>
      </c>
      <c r="V99">
        <v>21</v>
      </c>
      <c r="W99">
        <v>23</v>
      </c>
    </row>
    <row r="100" spans="1:23">
      <c r="A100">
        <v>99</v>
      </c>
      <c r="B100" s="1">
        <v>45314</v>
      </c>
      <c r="C100" s="1">
        <v>45436</v>
      </c>
      <c r="D100" s="29">
        <f>Tailordata[[#This Row],[DueDate]]-Tailordata[[#This Row],[Date]]</f>
        <v>122</v>
      </c>
      <c r="E100" t="s">
        <v>33</v>
      </c>
      <c r="F100" t="s">
        <v>30</v>
      </c>
      <c r="G100">
        <v>430</v>
      </c>
      <c r="H100" t="s">
        <v>28</v>
      </c>
      <c r="I100">
        <v>14</v>
      </c>
      <c r="J100">
        <v>39</v>
      </c>
      <c r="K100">
        <v>20</v>
      </c>
      <c r="L100">
        <v>24</v>
      </c>
      <c r="M100">
        <v>15</v>
      </c>
      <c r="N100">
        <v>30</v>
      </c>
      <c r="O100">
        <v>21</v>
      </c>
      <c r="Q100">
        <v>19</v>
      </c>
      <c r="R100">
        <v>23</v>
      </c>
    </row>
    <row r="101" spans="1:23">
      <c r="A101">
        <v>100</v>
      </c>
      <c r="B101" s="1">
        <v>45349</v>
      </c>
      <c r="C101" s="1">
        <v>45437</v>
      </c>
      <c r="D101" s="29">
        <f>Tailordata[[#This Row],[DueDate]]-Tailordata[[#This Row],[Date]]</f>
        <v>88</v>
      </c>
      <c r="E101" t="s">
        <v>33</v>
      </c>
      <c r="F101" t="s">
        <v>25</v>
      </c>
      <c r="G101">
        <v>126</v>
      </c>
      <c r="H101" t="s">
        <v>26</v>
      </c>
      <c r="I101">
        <v>17</v>
      </c>
      <c r="J101">
        <v>28</v>
      </c>
      <c r="K101">
        <v>15</v>
      </c>
      <c r="L101">
        <v>23</v>
      </c>
      <c r="M101">
        <v>19</v>
      </c>
      <c r="N101">
        <v>43</v>
      </c>
      <c r="O101">
        <v>17</v>
      </c>
      <c r="Q101">
        <v>16</v>
      </c>
      <c r="R101">
        <v>19</v>
      </c>
    </row>
    <row r="102" spans="1:23">
      <c r="A102">
        <v>101</v>
      </c>
      <c r="B102" s="1">
        <v>45372</v>
      </c>
      <c r="C102" s="1">
        <v>45412</v>
      </c>
      <c r="D102" s="29">
        <f>Tailordata[[#This Row],[DueDate]]-Tailordata[[#This Row],[Date]]</f>
        <v>40</v>
      </c>
      <c r="E102" t="s">
        <v>22</v>
      </c>
      <c r="F102" t="s">
        <v>32</v>
      </c>
      <c r="G102">
        <v>232</v>
      </c>
      <c r="H102" t="s">
        <v>34</v>
      </c>
      <c r="I102">
        <v>18</v>
      </c>
      <c r="J102">
        <v>21</v>
      </c>
      <c r="K102">
        <v>21</v>
      </c>
      <c r="L102">
        <v>24</v>
      </c>
      <c r="M102">
        <v>20</v>
      </c>
    </row>
    <row r="103" spans="1:23">
      <c r="A103">
        <v>102</v>
      </c>
      <c r="B103" s="1">
        <v>45401</v>
      </c>
      <c r="C103" s="1">
        <v>45433</v>
      </c>
      <c r="D103" s="29">
        <f>Tailordata[[#This Row],[DueDate]]-Tailordata[[#This Row],[Date]]</f>
        <v>32</v>
      </c>
      <c r="E103" t="s">
        <v>33</v>
      </c>
      <c r="F103" t="s">
        <v>36</v>
      </c>
      <c r="G103">
        <v>182</v>
      </c>
      <c r="H103" t="s">
        <v>26</v>
      </c>
      <c r="I103">
        <v>18</v>
      </c>
      <c r="J103">
        <v>43</v>
      </c>
      <c r="K103">
        <v>17</v>
      </c>
      <c r="L103">
        <v>17</v>
      </c>
      <c r="M103">
        <v>18</v>
      </c>
      <c r="N103">
        <v>46</v>
      </c>
      <c r="O103">
        <v>20</v>
      </c>
      <c r="Q103">
        <v>24</v>
      </c>
      <c r="R103">
        <v>23</v>
      </c>
    </row>
    <row r="104" spans="1:23">
      <c r="A104">
        <v>103</v>
      </c>
      <c r="B104" s="1">
        <v>45327</v>
      </c>
      <c r="C104" s="1">
        <v>45428</v>
      </c>
      <c r="D104" s="29">
        <f>Tailordata[[#This Row],[DueDate]]-Tailordata[[#This Row],[Date]]</f>
        <v>101</v>
      </c>
      <c r="E104" t="s">
        <v>27</v>
      </c>
      <c r="F104" t="s">
        <v>30</v>
      </c>
      <c r="G104">
        <v>442</v>
      </c>
      <c r="H104" t="s">
        <v>24</v>
      </c>
      <c r="I104">
        <v>20</v>
      </c>
      <c r="J104">
        <v>34</v>
      </c>
      <c r="K104">
        <v>21</v>
      </c>
      <c r="L104">
        <v>22</v>
      </c>
      <c r="N104">
        <v>23</v>
      </c>
      <c r="O104">
        <v>22</v>
      </c>
      <c r="P104">
        <v>23</v>
      </c>
    </row>
    <row r="105" spans="1:23">
      <c r="A105">
        <v>104</v>
      </c>
      <c r="B105" s="1">
        <v>45403</v>
      </c>
      <c r="C105" s="1">
        <v>45423</v>
      </c>
      <c r="D105" s="29">
        <f>Tailordata[[#This Row],[DueDate]]-Tailordata[[#This Row],[Date]]</f>
        <v>20</v>
      </c>
      <c r="E105" t="s">
        <v>33</v>
      </c>
      <c r="F105" t="s">
        <v>36</v>
      </c>
      <c r="G105">
        <v>245</v>
      </c>
      <c r="H105" t="s">
        <v>28</v>
      </c>
      <c r="I105">
        <v>18</v>
      </c>
      <c r="J105">
        <v>22</v>
      </c>
      <c r="K105">
        <v>17</v>
      </c>
      <c r="L105">
        <v>14</v>
      </c>
      <c r="M105">
        <v>18</v>
      </c>
      <c r="N105">
        <v>23</v>
      </c>
      <c r="O105">
        <v>15</v>
      </c>
      <c r="Q105">
        <v>19</v>
      </c>
      <c r="R105">
        <v>21</v>
      </c>
    </row>
    <row r="106" spans="1:23">
      <c r="A106">
        <v>105</v>
      </c>
      <c r="B106" s="1">
        <v>45332</v>
      </c>
      <c r="C106" s="1">
        <v>45438</v>
      </c>
      <c r="D106" s="29">
        <f>Tailordata[[#This Row],[DueDate]]-Tailordata[[#This Row],[Date]]</f>
        <v>106</v>
      </c>
      <c r="E106" t="s">
        <v>33</v>
      </c>
      <c r="F106" t="s">
        <v>36</v>
      </c>
      <c r="G106">
        <v>425</v>
      </c>
      <c r="H106" t="s">
        <v>28</v>
      </c>
      <c r="I106">
        <v>18</v>
      </c>
      <c r="J106">
        <v>32</v>
      </c>
      <c r="K106">
        <v>18</v>
      </c>
      <c r="L106">
        <v>24</v>
      </c>
      <c r="M106">
        <v>21</v>
      </c>
      <c r="N106">
        <v>20</v>
      </c>
      <c r="O106">
        <v>15</v>
      </c>
      <c r="Q106">
        <v>24</v>
      </c>
      <c r="R106">
        <v>20</v>
      </c>
    </row>
    <row r="107" spans="1:23">
      <c r="A107">
        <v>106</v>
      </c>
      <c r="B107" s="1">
        <v>45380</v>
      </c>
      <c r="C107" s="1">
        <v>45426</v>
      </c>
      <c r="D107" s="29">
        <f>Tailordata[[#This Row],[DueDate]]-Tailordata[[#This Row],[Date]]</f>
        <v>46</v>
      </c>
      <c r="E107" t="s">
        <v>35</v>
      </c>
      <c r="F107" t="s">
        <v>25</v>
      </c>
      <c r="G107">
        <v>436</v>
      </c>
      <c r="H107" t="s">
        <v>24</v>
      </c>
      <c r="O107">
        <v>17</v>
      </c>
      <c r="P107">
        <v>17</v>
      </c>
      <c r="Q107">
        <v>16</v>
      </c>
      <c r="R107">
        <v>14</v>
      </c>
      <c r="U107">
        <v>20</v>
      </c>
      <c r="V107">
        <v>17</v>
      </c>
      <c r="W107">
        <v>16</v>
      </c>
    </row>
    <row r="108" spans="1:23">
      <c r="A108">
        <v>107</v>
      </c>
      <c r="B108" s="1">
        <v>45351</v>
      </c>
      <c r="C108" s="1">
        <v>45411</v>
      </c>
      <c r="D108" s="29">
        <f>Tailordata[[#This Row],[DueDate]]-Tailordata[[#This Row],[Date]]</f>
        <v>60</v>
      </c>
      <c r="E108" t="s">
        <v>22</v>
      </c>
      <c r="F108" t="s">
        <v>36</v>
      </c>
      <c r="G108">
        <v>360</v>
      </c>
      <c r="H108" t="s">
        <v>26</v>
      </c>
      <c r="I108">
        <v>14</v>
      </c>
      <c r="J108">
        <v>41</v>
      </c>
      <c r="K108">
        <v>18</v>
      </c>
      <c r="L108">
        <v>15</v>
      </c>
      <c r="M108">
        <v>16</v>
      </c>
    </row>
    <row r="109" spans="1:23">
      <c r="A109">
        <v>108</v>
      </c>
      <c r="B109" s="1">
        <v>45322</v>
      </c>
      <c r="C109" s="1">
        <v>45438</v>
      </c>
      <c r="D109" s="29">
        <f>Tailordata[[#This Row],[DueDate]]-Tailordata[[#This Row],[Date]]</f>
        <v>116</v>
      </c>
      <c r="E109" t="s">
        <v>27</v>
      </c>
      <c r="F109" t="s">
        <v>36</v>
      </c>
      <c r="G109">
        <v>452</v>
      </c>
      <c r="H109" t="s">
        <v>26</v>
      </c>
      <c r="I109">
        <v>20</v>
      </c>
      <c r="J109">
        <v>21</v>
      </c>
      <c r="K109">
        <v>21</v>
      </c>
      <c r="L109">
        <v>24</v>
      </c>
      <c r="N109">
        <v>43</v>
      </c>
      <c r="O109">
        <v>16</v>
      </c>
      <c r="P109">
        <v>18</v>
      </c>
    </row>
    <row r="110" spans="1:23">
      <c r="A110">
        <v>109</v>
      </c>
      <c r="B110" s="1">
        <v>45398</v>
      </c>
      <c r="C110" s="1">
        <v>45437</v>
      </c>
      <c r="D110" s="29">
        <f>Tailordata[[#This Row],[DueDate]]-Tailordata[[#This Row],[Date]]</f>
        <v>39</v>
      </c>
      <c r="E110" t="s">
        <v>27</v>
      </c>
      <c r="F110" t="s">
        <v>23</v>
      </c>
      <c r="G110">
        <v>288</v>
      </c>
      <c r="H110" t="s">
        <v>31</v>
      </c>
      <c r="I110">
        <v>19</v>
      </c>
      <c r="J110">
        <v>49</v>
      </c>
      <c r="K110">
        <v>19</v>
      </c>
      <c r="L110">
        <v>14</v>
      </c>
      <c r="N110">
        <v>23</v>
      </c>
      <c r="O110">
        <v>24</v>
      </c>
      <c r="P110">
        <v>17</v>
      </c>
    </row>
    <row r="111" spans="1:23">
      <c r="A111">
        <v>110</v>
      </c>
      <c r="B111" s="1">
        <v>45358</v>
      </c>
      <c r="C111" s="1">
        <v>45415</v>
      </c>
      <c r="D111" s="29">
        <f>Tailordata[[#This Row],[DueDate]]-Tailordata[[#This Row],[Date]]</f>
        <v>57</v>
      </c>
      <c r="E111" t="s">
        <v>29</v>
      </c>
      <c r="F111" t="s">
        <v>32</v>
      </c>
      <c r="G111">
        <v>337</v>
      </c>
      <c r="H111" t="s">
        <v>24</v>
      </c>
      <c r="O111">
        <v>24</v>
      </c>
      <c r="Q111">
        <v>24</v>
      </c>
      <c r="R111">
        <v>19</v>
      </c>
      <c r="S111">
        <v>18</v>
      </c>
      <c r="T111">
        <v>24</v>
      </c>
      <c r="U111">
        <v>19</v>
      </c>
    </row>
    <row r="112" spans="1:23">
      <c r="A112">
        <v>111</v>
      </c>
      <c r="B112" s="1">
        <v>45314</v>
      </c>
      <c r="C112" s="1">
        <v>45426</v>
      </c>
      <c r="D112" s="29">
        <f>Tailordata[[#This Row],[DueDate]]-Tailordata[[#This Row],[Date]]</f>
        <v>112</v>
      </c>
      <c r="E112" t="s">
        <v>22</v>
      </c>
      <c r="F112" t="s">
        <v>30</v>
      </c>
      <c r="G112">
        <v>296</v>
      </c>
      <c r="H112" t="s">
        <v>31</v>
      </c>
      <c r="I112">
        <v>21</v>
      </c>
      <c r="J112">
        <v>20</v>
      </c>
      <c r="K112">
        <v>20</v>
      </c>
      <c r="L112">
        <v>18</v>
      </c>
      <c r="M112">
        <v>14</v>
      </c>
    </row>
    <row r="113" spans="1:23">
      <c r="A113">
        <v>112</v>
      </c>
      <c r="B113" s="1">
        <v>45326</v>
      </c>
      <c r="C113" s="1">
        <v>45428</v>
      </c>
      <c r="D113" s="29">
        <f>Tailordata[[#This Row],[DueDate]]-Tailordata[[#This Row],[Date]]</f>
        <v>102</v>
      </c>
      <c r="E113" t="s">
        <v>27</v>
      </c>
      <c r="F113" t="s">
        <v>25</v>
      </c>
      <c r="G113">
        <v>298</v>
      </c>
      <c r="H113" t="s">
        <v>24</v>
      </c>
      <c r="I113">
        <v>15</v>
      </c>
      <c r="J113">
        <v>34</v>
      </c>
      <c r="K113">
        <v>15</v>
      </c>
      <c r="L113">
        <v>15</v>
      </c>
      <c r="N113">
        <v>48</v>
      </c>
      <c r="O113">
        <v>20</v>
      </c>
      <c r="P113">
        <v>15</v>
      </c>
    </row>
    <row r="114" spans="1:23">
      <c r="A114">
        <v>113</v>
      </c>
      <c r="B114" s="1">
        <v>45345</v>
      </c>
      <c r="C114" s="1">
        <v>45434</v>
      </c>
      <c r="D114" s="29">
        <f>Tailordata[[#This Row],[DueDate]]-Tailordata[[#This Row],[Date]]</f>
        <v>89</v>
      </c>
      <c r="E114" t="s">
        <v>27</v>
      </c>
      <c r="F114" t="s">
        <v>32</v>
      </c>
      <c r="G114">
        <v>221</v>
      </c>
      <c r="H114" t="s">
        <v>28</v>
      </c>
      <c r="I114">
        <v>19</v>
      </c>
      <c r="J114">
        <v>26</v>
      </c>
      <c r="K114">
        <v>18</v>
      </c>
      <c r="L114">
        <v>21</v>
      </c>
      <c r="N114">
        <v>32</v>
      </c>
      <c r="O114">
        <v>23</v>
      </c>
      <c r="P114">
        <v>16</v>
      </c>
    </row>
    <row r="115" spans="1:23">
      <c r="A115">
        <v>114</v>
      </c>
      <c r="B115" s="1">
        <v>45400</v>
      </c>
      <c r="C115" s="1">
        <v>45434</v>
      </c>
      <c r="D115" s="29">
        <f>Tailordata[[#This Row],[DueDate]]-Tailordata[[#This Row],[Date]]</f>
        <v>34</v>
      </c>
      <c r="E115" t="s">
        <v>27</v>
      </c>
      <c r="F115" t="s">
        <v>23</v>
      </c>
      <c r="G115">
        <v>151</v>
      </c>
      <c r="H115" t="s">
        <v>31</v>
      </c>
      <c r="I115">
        <v>15</v>
      </c>
      <c r="J115">
        <v>31</v>
      </c>
      <c r="K115">
        <v>18</v>
      </c>
      <c r="L115">
        <v>24</v>
      </c>
      <c r="N115">
        <v>30</v>
      </c>
      <c r="O115">
        <v>21</v>
      </c>
      <c r="P115">
        <v>22</v>
      </c>
    </row>
    <row r="116" spans="1:23">
      <c r="A116">
        <v>115</v>
      </c>
      <c r="B116" s="1">
        <v>45375</v>
      </c>
      <c r="C116" s="1">
        <v>45440</v>
      </c>
      <c r="D116" s="29">
        <f>Tailordata[[#This Row],[DueDate]]-Tailordata[[#This Row],[Date]]</f>
        <v>65</v>
      </c>
      <c r="E116" t="s">
        <v>33</v>
      </c>
      <c r="F116" t="s">
        <v>25</v>
      </c>
      <c r="G116">
        <v>324</v>
      </c>
      <c r="H116" t="s">
        <v>28</v>
      </c>
      <c r="I116">
        <v>18</v>
      </c>
      <c r="J116">
        <v>23</v>
      </c>
      <c r="K116">
        <v>21</v>
      </c>
      <c r="L116">
        <v>21</v>
      </c>
      <c r="M116">
        <v>23</v>
      </c>
      <c r="N116">
        <v>46</v>
      </c>
      <c r="O116">
        <v>22</v>
      </c>
      <c r="Q116">
        <v>17</v>
      </c>
      <c r="R116">
        <v>23</v>
      </c>
    </row>
    <row r="117" spans="1:23">
      <c r="A117">
        <v>116</v>
      </c>
      <c r="B117" s="1">
        <v>45370</v>
      </c>
      <c r="C117" s="1">
        <v>45415</v>
      </c>
      <c r="D117" s="29">
        <f>Tailordata[[#This Row],[DueDate]]-Tailordata[[#This Row],[Date]]</f>
        <v>45</v>
      </c>
      <c r="E117" t="s">
        <v>33</v>
      </c>
      <c r="F117" t="s">
        <v>30</v>
      </c>
      <c r="G117">
        <v>178</v>
      </c>
      <c r="H117" t="s">
        <v>26</v>
      </c>
      <c r="I117">
        <v>14</v>
      </c>
      <c r="J117">
        <v>30</v>
      </c>
      <c r="K117">
        <v>24</v>
      </c>
      <c r="L117">
        <v>17</v>
      </c>
      <c r="M117">
        <v>17</v>
      </c>
      <c r="N117">
        <v>48</v>
      </c>
      <c r="O117">
        <v>21</v>
      </c>
      <c r="Q117">
        <v>18</v>
      </c>
      <c r="R117">
        <v>20</v>
      </c>
    </row>
    <row r="118" spans="1:23">
      <c r="A118">
        <v>117</v>
      </c>
      <c r="B118" s="1">
        <v>45329</v>
      </c>
      <c r="C118" s="1">
        <v>45440</v>
      </c>
      <c r="D118" s="29">
        <f>Tailordata[[#This Row],[DueDate]]-Tailordata[[#This Row],[Date]]</f>
        <v>111</v>
      </c>
      <c r="E118" t="s">
        <v>29</v>
      </c>
      <c r="F118" t="s">
        <v>36</v>
      </c>
      <c r="G118">
        <v>475</v>
      </c>
      <c r="H118" t="s">
        <v>31</v>
      </c>
      <c r="O118">
        <v>14</v>
      </c>
      <c r="Q118">
        <v>18</v>
      </c>
      <c r="R118">
        <v>16</v>
      </c>
      <c r="S118">
        <v>20</v>
      </c>
      <c r="T118">
        <v>18</v>
      </c>
      <c r="U118">
        <v>22</v>
      </c>
    </row>
    <row r="119" spans="1:23">
      <c r="A119">
        <v>118</v>
      </c>
      <c r="B119" s="1">
        <v>45346</v>
      </c>
      <c r="C119" s="1">
        <v>45416</v>
      </c>
      <c r="D119" s="29">
        <f>Tailordata[[#This Row],[DueDate]]-Tailordata[[#This Row],[Date]]</f>
        <v>70</v>
      </c>
      <c r="E119" t="s">
        <v>22</v>
      </c>
      <c r="F119" t="s">
        <v>30</v>
      </c>
      <c r="G119">
        <v>141</v>
      </c>
      <c r="H119" t="s">
        <v>24</v>
      </c>
      <c r="I119">
        <v>15</v>
      </c>
      <c r="J119">
        <v>45</v>
      </c>
      <c r="K119">
        <v>20</v>
      </c>
      <c r="L119">
        <v>21</v>
      </c>
      <c r="M119">
        <v>19</v>
      </c>
    </row>
    <row r="120" spans="1:23">
      <c r="A120">
        <v>119</v>
      </c>
      <c r="B120" s="1">
        <v>45324</v>
      </c>
      <c r="C120" s="1">
        <v>45438</v>
      </c>
      <c r="D120" s="29">
        <f>Tailordata[[#This Row],[DueDate]]-Tailordata[[#This Row],[Date]]</f>
        <v>114</v>
      </c>
      <c r="E120" t="s">
        <v>33</v>
      </c>
      <c r="F120" t="s">
        <v>32</v>
      </c>
      <c r="G120">
        <v>467</v>
      </c>
      <c r="H120" t="s">
        <v>24</v>
      </c>
      <c r="I120">
        <v>21</v>
      </c>
      <c r="J120">
        <v>25</v>
      </c>
      <c r="K120">
        <v>17</v>
      </c>
      <c r="L120">
        <v>18</v>
      </c>
      <c r="M120">
        <v>17</v>
      </c>
      <c r="N120">
        <v>35</v>
      </c>
      <c r="O120">
        <v>14</v>
      </c>
      <c r="Q120">
        <v>15</v>
      </c>
      <c r="R120">
        <v>17</v>
      </c>
    </row>
    <row r="121" spans="1:23">
      <c r="A121">
        <v>120</v>
      </c>
      <c r="B121" s="1">
        <v>45395</v>
      </c>
      <c r="C121" s="1">
        <v>45428</v>
      </c>
      <c r="D121" s="29">
        <f>Tailordata[[#This Row],[DueDate]]-Tailordata[[#This Row],[Date]]</f>
        <v>33</v>
      </c>
      <c r="E121" t="s">
        <v>33</v>
      </c>
      <c r="F121" t="s">
        <v>25</v>
      </c>
      <c r="G121">
        <v>229</v>
      </c>
      <c r="H121" t="s">
        <v>26</v>
      </c>
      <c r="I121">
        <v>19</v>
      </c>
      <c r="J121">
        <v>37</v>
      </c>
      <c r="K121">
        <v>24</v>
      </c>
      <c r="L121">
        <v>18</v>
      </c>
      <c r="M121">
        <v>19</v>
      </c>
      <c r="N121">
        <v>23</v>
      </c>
      <c r="O121">
        <v>16</v>
      </c>
      <c r="Q121">
        <v>18</v>
      </c>
      <c r="R121">
        <v>14</v>
      </c>
    </row>
    <row r="122" spans="1:23">
      <c r="A122">
        <v>121</v>
      </c>
      <c r="B122" s="1">
        <v>45316</v>
      </c>
      <c r="C122" s="1">
        <v>45420</v>
      </c>
      <c r="D122" s="29">
        <f>Tailordata[[#This Row],[DueDate]]-Tailordata[[#This Row],[Date]]</f>
        <v>104</v>
      </c>
      <c r="E122" t="s">
        <v>33</v>
      </c>
      <c r="F122" t="s">
        <v>32</v>
      </c>
      <c r="G122">
        <v>355</v>
      </c>
      <c r="H122" t="s">
        <v>34</v>
      </c>
      <c r="I122">
        <v>19</v>
      </c>
      <c r="J122">
        <v>27</v>
      </c>
      <c r="K122">
        <v>16</v>
      </c>
      <c r="L122">
        <v>18</v>
      </c>
      <c r="M122">
        <v>23</v>
      </c>
      <c r="N122">
        <v>31</v>
      </c>
      <c r="O122">
        <v>21</v>
      </c>
      <c r="Q122">
        <v>24</v>
      </c>
      <c r="R122">
        <v>22</v>
      </c>
    </row>
    <row r="123" spans="1:23">
      <c r="A123">
        <v>122</v>
      </c>
      <c r="B123" s="1">
        <v>45353</v>
      </c>
      <c r="C123" s="1">
        <v>45417</v>
      </c>
      <c r="D123" s="29">
        <f>Tailordata[[#This Row],[DueDate]]-Tailordata[[#This Row],[Date]]</f>
        <v>64</v>
      </c>
      <c r="E123" t="s">
        <v>33</v>
      </c>
      <c r="F123" t="s">
        <v>25</v>
      </c>
      <c r="G123">
        <v>211</v>
      </c>
      <c r="H123" t="s">
        <v>26</v>
      </c>
      <c r="I123">
        <v>16</v>
      </c>
      <c r="J123">
        <v>20</v>
      </c>
      <c r="K123">
        <v>14</v>
      </c>
      <c r="L123">
        <v>24</v>
      </c>
      <c r="M123">
        <v>17</v>
      </c>
      <c r="N123">
        <v>28</v>
      </c>
      <c r="O123">
        <v>18</v>
      </c>
      <c r="Q123">
        <v>19</v>
      </c>
      <c r="R123">
        <v>19</v>
      </c>
    </row>
    <row r="124" spans="1:23">
      <c r="A124">
        <v>123</v>
      </c>
      <c r="B124" s="1">
        <v>45407</v>
      </c>
      <c r="C124" s="1">
        <v>45437</v>
      </c>
      <c r="D124" s="29">
        <f>Tailordata[[#This Row],[DueDate]]-Tailordata[[#This Row],[Date]]</f>
        <v>30</v>
      </c>
      <c r="E124" t="s">
        <v>27</v>
      </c>
      <c r="F124" t="s">
        <v>32</v>
      </c>
      <c r="G124">
        <v>65</v>
      </c>
      <c r="H124" t="s">
        <v>24</v>
      </c>
      <c r="I124">
        <v>15</v>
      </c>
      <c r="J124">
        <v>48</v>
      </c>
      <c r="K124">
        <v>21</v>
      </c>
      <c r="L124">
        <v>22</v>
      </c>
      <c r="N124">
        <v>43</v>
      </c>
      <c r="O124">
        <v>22</v>
      </c>
      <c r="P124">
        <v>18</v>
      </c>
    </row>
    <row r="125" spans="1:23">
      <c r="A125">
        <v>124</v>
      </c>
      <c r="B125" s="1">
        <v>45348</v>
      </c>
      <c r="C125" s="1">
        <v>45425</v>
      </c>
      <c r="D125" s="29">
        <f>Tailordata[[#This Row],[DueDate]]-Tailordata[[#This Row],[Date]]</f>
        <v>77</v>
      </c>
      <c r="E125" t="s">
        <v>33</v>
      </c>
      <c r="F125" t="s">
        <v>23</v>
      </c>
      <c r="G125">
        <v>421</v>
      </c>
      <c r="H125" t="s">
        <v>26</v>
      </c>
      <c r="I125">
        <v>20</v>
      </c>
      <c r="J125">
        <v>39</v>
      </c>
      <c r="K125">
        <v>22</v>
      </c>
      <c r="L125">
        <v>24</v>
      </c>
      <c r="M125">
        <v>14</v>
      </c>
      <c r="N125">
        <v>42</v>
      </c>
      <c r="O125">
        <v>14</v>
      </c>
      <c r="Q125">
        <v>22</v>
      </c>
      <c r="R125">
        <v>16</v>
      </c>
    </row>
    <row r="126" spans="1:23">
      <c r="A126">
        <v>125</v>
      </c>
      <c r="B126" s="1">
        <v>45392</v>
      </c>
      <c r="C126" s="1">
        <v>45422</v>
      </c>
      <c r="D126" s="29">
        <f>Tailordata[[#This Row],[DueDate]]-Tailordata[[#This Row],[Date]]</f>
        <v>30</v>
      </c>
      <c r="E126" t="s">
        <v>22</v>
      </c>
      <c r="F126" t="s">
        <v>32</v>
      </c>
      <c r="G126">
        <v>387</v>
      </c>
      <c r="H126" t="s">
        <v>34</v>
      </c>
      <c r="I126">
        <v>15</v>
      </c>
      <c r="J126">
        <v>25</v>
      </c>
      <c r="K126">
        <v>21</v>
      </c>
      <c r="L126">
        <v>24</v>
      </c>
      <c r="M126">
        <v>15</v>
      </c>
    </row>
    <row r="127" spans="1:23">
      <c r="A127">
        <v>126</v>
      </c>
      <c r="B127" s="1">
        <v>45340</v>
      </c>
      <c r="C127" s="1">
        <v>45411</v>
      </c>
      <c r="D127" s="29">
        <f>Tailordata[[#This Row],[DueDate]]-Tailordata[[#This Row],[Date]]</f>
        <v>71</v>
      </c>
      <c r="E127" t="s">
        <v>35</v>
      </c>
      <c r="F127" t="s">
        <v>36</v>
      </c>
      <c r="G127">
        <v>454</v>
      </c>
      <c r="H127" t="s">
        <v>26</v>
      </c>
      <c r="O127">
        <v>18</v>
      </c>
      <c r="P127">
        <v>20</v>
      </c>
      <c r="Q127">
        <v>18</v>
      </c>
      <c r="R127">
        <v>17</v>
      </c>
      <c r="U127">
        <v>14</v>
      </c>
      <c r="V127">
        <v>14</v>
      </c>
      <c r="W127">
        <v>14</v>
      </c>
    </row>
    <row r="128" spans="1:23">
      <c r="A128">
        <v>127</v>
      </c>
      <c r="B128" s="1">
        <v>45397</v>
      </c>
      <c r="C128" s="1">
        <v>45417</v>
      </c>
      <c r="D128" s="29">
        <f>Tailordata[[#This Row],[DueDate]]-Tailordata[[#This Row],[Date]]</f>
        <v>20</v>
      </c>
      <c r="E128" t="s">
        <v>29</v>
      </c>
      <c r="F128" t="s">
        <v>30</v>
      </c>
      <c r="G128">
        <v>227</v>
      </c>
      <c r="H128" t="s">
        <v>24</v>
      </c>
      <c r="O128">
        <v>18</v>
      </c>
      <c r="Q128">
        <v>18</v>
      </c>
      <c r="R128">
        <v>20</v>
      </c>
      <c r="S128">
        <v>20</v>
      </c>
      <c r="T128">
        <v>14</v>
      </c>
      <c r="U128">
        <v>14</v>
      </c>
    </row>
    <row r="129" spans="1:23">
      <c r="A129">
        <v>128</v>
      </c>
      <c r="B129" s="1">
        <v>45381</v>
      </c>
      <c r="C129" s="1">
        <v>45431</v>
      </c>
      <c r="D129" s="29">
        <f>Tailordata[[#This Row],[DueDate]]-Tailordata[[#This Row],[Date]]</f>
        <v>50</v>
      </c>
      <c r="E129" t="s">
        <v>29</v>
      </c>
      <c r="F129" t="s">
        <v>30</v>
      </c>
      <c r="G129">
        <v>254</v>
      </c>
      <c r="H129" t="s">
        <v>26</v>
      </c>
      <c r="O129">
        <v>15</v>
      </c>
      <c r="Q129">
        <v>20</v>
      </c>
      <c r="R129">
        <v>17</v>
      </c>
      <c r="S129">
        <v>16</v>
      </c>
      <c r="T129">
        <v>20</v>
      </c>
      <c r="U129">
        <v>24</v>
      </c>
    </row>
    <row r="130" spans="1:23">
      <c r="A130">
        <v>129</v>
      </c>
      <c r="B130" s="1">
        <v>45379</v>
      </c>
      <c r="C130" s="1">
        <v>45418</v>
      </c>
      <c r="D130" s="29">
        <f>Tailordata[[#This Row],[DueDate]]-Tailordata[[#This Row],[Date]]</f>
        <v>39</v>
      </c>
      <c r="E130" t="s">
        <v>29</v>
      </c>
      <c r="F130" t="s">
        <v>32</v>
      </c>
      <c r="G130">
        <v>487</v>
      </c>
      <c r="H130" t="s">
        <v>31</v>
      </c>
      <c r="O130">
        <v>19</v>
      </c>
      <c r="Q130">
        <v>15</v>
      </c>
      <c r="R130">
        <v>22</v>
      </c>
      <c r="S130">
        <v>21</v>
      </c>
      <c r="T130">
        <v>20</v>
      </c>
      <c r="U130">
        <v>15</v>
      </c>
    </row>
    <row r="131" spans="1:23">
      <c r="A131">
        <v>130</v>
      </c>
      <c r="B131" s="1">
        <v>45402</v>
      </c>
      <c r="C131" s="1">
        <v>45438</v>
      </c>
      <c r="D131" s="29">
        <f>Tailordata[[#This Row],[DueDate]]-Tailordata[[#This Row],[Date]]</f>
        <v>36</v>
      </c>
      <c r="E131" t="s">
        <v>22</v>
      </c>
      <c r="F131" t="s">
        <v>30</v>
      </c>
      <c r="G131">
        <v>57</v>
      </c>
      <c r="H131" t="s">
        <v>34</v>
      </c>
      <c r="I131">
        <v>20</v>
      </c>
      <c r="J131">
        <v>31</v>
      </c>
      <c r="K131">
        <v>14</v>
      </c>
      <c r="L131">
        <v>18</v>
      </c>
      <c r="M131">
        <v>17</v>
      </c>
    </row>
    <row r="132" spans="1:23">
      <c r="A132">
        <v>131</v>
      </c>
      <c r="B132" s="1">
        <v>45356</v>
      </c>
      <c r="C132" s="1">
        <v>45432</v>
      </c>
      <c r="D132" s="29">
        <f>Tailordata[[#This Row],[DueDate]]-Tailordata[[#This Row],[Date]]</f>
        <v>76</v>
      </c>
      <c r="E132" t="s">
        <v>33</v>
      </c>
      <c r="F132" t="s">
        <v>36</v>
      </c>
      <c r="G132">
        <v>252</v>
      </c>
      <c r="H132" t="s">
        <v>31</v>
      </c>
      <c r="I132">
        <v>18</v>
      </c>
      <c r="J132">
        <v>26</v>
      </c>
      <c r="K132">
        <v>23</v>
      </c>
      <c r="L132">
        <v>16</v>
      </c>
      <c r="M132">
        <v>18</v>
      </c>
      <c r="N132">
        <v>35</v>
      </c>
      <c r="O132">
        <v>16</v>
      </c>
      <c r="Q132">
        <v>19</v>
      </c>
      <c r="R132">
        <v>21</v>
      </c>
    </row>
    <row r="133" spans="1:23">
      <c r="A133">
        <v>132</v>
      </c>
      <c r="B133" s="1">
        <v>45394</v>
      </c>
      <c r="C133" s="1">
        <v>45419</v>
      </c>
      <c r="D133" s="29">
        <f>Tailordata[[#This Row],[DueDate]]-Tailordata[[#This Row],[Date]]</f>
        <v>25</v>
      </c>
      <c r="E133" t="s">
        <v>35</v>
      </c>
      <c r="F133" t="s">
        <v>36</v>
      </c>
      <c r="G133">
        <v>166</v>
      </c>
      <c r="H133" t="s">
        <v>31</v>
      </c>
      <c r="O133">
        <v>15</v>
      </c>
      <c r="P133">
        <v>20</v>
      </c>
      <c r="Q133">
        <v>20</v>
      </c>
      <c r="R133">
        <v>23</v>
      </c>
      <c r="U133">
        <v>19</v>
      </c>
      <c r="V133">
        <v>15</v>
      </c>
      <c r="W133">
        <v>24</v>
      </c>
    </row>
    <row r="134" spans="1:23">
      <c r="A134">
        <v>133</v>
      </c>
      <c r="B134" s="1">
        <v>45360</v>
      </c>
      <c r="C134" s="1">
        <v>45426</v>
      </c>
      <c r="D134" s="29">
        <f>Tailordata[[#This Row],[DueDate]]-Tailordata[[#This Row],[Date]]</f>
        <v>66</v>
      </c>
      <c r="E134" t="s">
        <v>27</v>
      </c>
      <c r="F134" t="s">
        <v>25</v>
      </c>
      <c r="G134">
        <v>320</v>
      </c>
      <c r="H134" t="s">
        <v>26</v>
      </c>
      <c r="I134">
        <v>14</v>
      </c>
      <c r="J134">
        <v>33</v>
      </c>
      <c r="K134">
        <v>15</v>
      </c>
      <c r="L134">
        <v>21</v>
      </c>
      <c r="N134">
        <v>33</v>
      </c>
      <c r="O134">
        <v>23</v>
      </c>
      <c r="P134">
        <v>21</v>
      </c>
    </row>
    <row r="135" spans="1:23">
      <c r="A135">
        <v>134</v>
      </c>
      <c r="B135" s="1">
        <v>45368</v>
      </c>
      <c r="C135" s="1">
        <v>45437</v>
      </c>
      <c r="D135" s="29">
        <f>Tailordata[[#This Row],[DueDate]]-Tailordata[[#This Row],[Date]]</f>
        <v>69</v>
      </c>
      <c r="E135" t="s">
        <v>22</v>
      </c>
      <c r="F135" t="s">
        <v>25</v>
      </c>
      <c r="G135">
        <v>66</v>
      </c>
      <c r="H135" t="s">
        <v>34</v>
      </c>
      <c r="I135">
        <v>18</v>
      </c>
      <c r="J135">
        <v>27</v>
      </c>
      <c r="K135">
        <v>22</v>
      </c>
      <c r="L135">
        <v>17</v>
      </c>
      <c r="M135">
        <v>24</v>
      </c>
    </row>
    <row r="136" spans="1:23">
      <c r="A136">
        <v>135</v>
      </c>
      <c r="B136" s="1">
        <v>45399</v>
      </c>
      <c r="C136" s="1">
        <v>45426</v>
      </c>
      <c r="D136" s="29">
        <f>Tailordata[[#This Row],[DueDate]]-Tailordata[[#This Row],[Date]]</f>
        <v>27</v>
      </c>
      <c r="E136" t="s">
        <v>33</v>
      </c>
      <c r="F136" t="s">
        <v>25</v>
      </c>
      <c r="G136">
        <v>328</v>
      </c>
      <c r="H136" t="s">
        <v>34</v>
      </c>
      <c r="I136">
        <v>24</v>
      </c>
      <c r="J136">
        <v>40</v>
      </c>
      <c r="K136">
        <v>24</v>
      </c>
      <c r="L136">
        <v>18</v>
      </c>
      <c r="M136">
        <v>16</v>
      </c>
      <c r="N136">
        <v>35</v>
      </c>
      <c r="O136">
        <v>18</v>
      </c>
      <c r="Q136">
        <v>16</v>
      </c>
      <c r="R136">
        <v>24</v>
      </c>
    </row>
    <row r="137" spans="1:23">
      <c r="A137">
        <v>136</v>
      </c>
      <c r="B137" s="1">
        <v>45301</v>
      </c>
      <c r="C137" s="1">
        <v>45424</v>
      </c>
      <c r="D137" s="29">
        <f>Tailordata[[#This Row],[DueDate]]-Tailordata[[#This Row],[Date]]</f>
        <v>123</v>
      </c>
      <c r="E137" t="s">
        <v>33</v>
      </c>
      <c r="F137" t="s">
        <v>25</v>
      </c>
      <c r="G137">
        <v>207</v>
      </c>
      <c r="H137" t="s">
        <v>31</v>
      </c>
      <c r="I137">
        <v>21</v>
      </c>
      <c r="J137">
        <v>22</v>
      </c>
      <c r="K137">
        <v>18</v>
      </c>
      <c r="L137">
        <v>23</v>
      </c>
      <c r="M137">
        <v>24</v>
      </c>
      <c r="N137">
        <v>27</v>
      </c>
      <c r="O137">
        <v>20</v>
      </c>
      <c r="Q137">
        <v>15</v>
      </c>
      <c r="R137">
        <v>22</v>
      </c>
    </row>
    <row r="138" spans="1:23">
      <c r="A138">
        <v>137</v>
      </c>
      <c r="B138" s="1">
        <v>45329</v>
      </c>
      <c r="C138" s="1">
        <v>45439</v>
      </c>
      <c r="D138" s="29">
        <f>Tailordata[[#This Row],[DueDate]]-Tailordata[[#This Row],[Date]]</f>
        <v>110</v>
      </c>
      <c r="E138" t="s">
        <v>29</v>
      </c>
      <c r="F138" t="s">
        <v>30</v>
      </c>
      <c r="G138">
        <v>290</v>
      </c>
      <c r="H138" t="s">
        <v>34</v>
      </c>
      <c r="O138">
        <v>16</v>
      </c>
      <c r="Q138">
        <v>14</v>
      </c>
      <c r="R138">
        <v>20</v>
      </c>
      <c r="S138">
        <v>15</v>
      </c>
      <c r="T138">
        <v>18</v>
      </c>
      <c r="U138">
        <v>20</v>
      </c>
    </row>
    <row r="139" spans="1:23">
      <c r="A139">
        <v>138</v>
      </c>
      <c r="B139" s="1">
        <v>45391</v>
      </c>
      <c r="C139" s="1">
        <v>45431</v>
      </c>
      <c r="D139" s="29">
        <f>Tailordata[[#This Row],[DueDate]]-Tailordata[[#This Row],[Date]]</f>
        <v>40</v>
      </c>
      <c r="E139" t="s">
        <v>35</v>
      </c>
      <c r="F139" t="s">
        <v>36</v>
      </c>
      <c r="G139">
        <v>408</v>
      </c>
      <c r="H139" t="s">
        <v>24</v>
      </c>
      <c r="O139">
        <v>18</v>
      </c>
      <c r="P139">
        <v>21</v>
      </c>
      <c r="Q139">
        <v>22</v>
      </c>
      <c r="R139">
        <v>17</v>
      </c>
      <c r="U139">
        <v>19</v>
      </c>
      <c r="V139">
        <v>23</v>
      </c>
      <c r="W139">
        <v>19</v>
      </c>
    </row>
    <row r="140" spans="1:23">
      <c r="A140">
        <v>139</v>
      </c>
      <c r="B140" s="1">
        <v>45315</v>
      </c>
      <c r="C140" s="1">
        <v>45427</v>
      </c>
      <c r="D140" s="29">
        <f>Tailordata[[#This Row],[DueDate]]-Tailordata[[#This Row],[Date]]</f>
        <v>112</v>
      </c>
      <c r="E140" t="s">
        <v>35</v>
      </c>
      <c r="F140" t="s">
        <v>36</v>
      </c>
      <c r="G140">
        <v>396</v>
      </c>
      <c r="H140" t="s">
        <v>34</v>
      </c>
      <c r="O140">
        <v>15</v>
      </c>
      <c r="P140">
        <v>15</v>
      </c>
      <c r="Q140">
        <v>14</v>
      </c>
      <c r="R140">
        <v>15</v>
      </c>
      <c r="U140">
        <v>17</v>
      </c>
      <c r="V140">
        <v>22</v>
      </c>
      <c r="W140">
        <v>21</v>
      </c>
    </row>
    <row r="141" spans="1:23">
      <c r="A141">
        <v>140</v>
      </c>
      <c r="B141" s="1">
        <v>45381</v>
      </c>
      <c r="C141" s="1">
        <v>45435</v>
      </c>
      <c r="D141" s="29">
        <f>Tailordata[[#This Row],[DueDate]]-Tailordata[[#This Row],[Date]]</f>
        <v>54</v>
      </c>
      <c r="E141" t="s">
        <v>29</v>
      </c>
      <c r="F141" t="s">
        <v>23</v>
      </c>
      <c r="G141">
        <v>143</v>
      </c>
      <c r="H141" t="s">
        <v>31</v>
      </c>
      <c r="O141">
        <v>15</v>
      </c>
      <c r="Q141">
        <v>19</v>
      </c>
      <c r="R141">
        <v>18</v>
      </c>
      <c r="S141">
        <v>24</v>
      </c>
      <c r="T141">
        <v>16</v>
      </c>
      <c r="U141">
        <v>20</v>
      </c>
    </row>
    <row r="142" spans="1:23">
      <c r="A142">
        <v>141</v>
      </c>
      <c r="B142" s="1">
        <v>45357</v>
      </c>
      <c r="C142" s="1">
        <v>45425</v>
      </c>
      <c r="D142" s="29">
        <f>Tailordata[[#This Row],[DueDate]]-Tailordata[[#This Row],[Date]]</f>
        <v>68</v>
      </c>
      <c r="E142" t="s">
        <v>22</v>
      </c>
      <c r="F142" t="s">
        <v>23</v>
      </c>
      <c r="G142">
        <v>330</v>
      </c>
      <c r="H142" t="s">
        <v>31</v>
      </c>
      <c r="I142">
        <v>20</v>
      </c>
      <c r="J142">
        <v>40</v>
      </c>
      <c r="K142">
        <v>14</v>
      </c>
      <c r="L142">
        <v>24</v>
      </c>
      <c r="M142">
        <v>15</v>
      </c>
    </row>
    <row r="143" spans="1:23">
      <c r="A143">
        <v>142</v>
      </c>
      <c r="B143" s="1">
        <v>45334</v>
      </c>
      <c r="C143" s="1">
        <v>45411</v>
      </c>
      <c r="D143" s="29">
        <f>Tailordata[[#This Row],[DueDate]]-Tailordata[[#This Row],[Date]]</f>
        <v>77</v>
      </c>
      <c r="E143" t="s">
        <v>22</v>
      </c>
      <c r="F143" t="s">
        <v>32</v>
      </c>
      <c r="G143">
        <v>444</v>
      </c>
      <c r="H143" t="s">
        <v>34</v>
      </c>
      <c r="I143">
        <v>23</v>
      </c>
      <c r="J143">
        <v>31</v>
      </c>
      <c r="K143">
        <v>15</v>
      </c>
      <c r="L143">
        <v>24</v>
      </c>
      <c r="M143">
        <v>24</v>
      </c>
    </row>
    <row r="144" spans="1:23">
      <c r="A144">
        <v>143</v>
      </c>
      <c r="B144" s="1">
        <v>45340</v>
      </c>
      <c r="C144" s="1">
        <v>45427</v>
      </c>
      <c r="D144" s="29">
        <f>Tailordata[[#This Row],[DueDate]]-Tailordata[[#This Row],[Date]]</f>
        <v>87</v>
      </c>
      <c r="E144" t="s">
        <v>22</v>
      </c>
      <c r="F144" t="s">
        <v>36</v>
      </c>
      <c r="G144">
        <v>219</v>
      </c>
      <c r="H144" t="s">
        <v>26</v>
      </c>
      <c r="I144">
        <v>15</v>
      </c>
      <c r="J144">
        <v>44</v>
      </c>
      <c r="K144">
        <v>20</v>
      </c>
      <c r="L144">
        <v>17</v>
      </c>
      <c r="M144">
        <v>14</v>
      </c>
    </row>
    <row r="145" spans="1:23">
      <c r="A145">
        <v>144</v>
      </c>
      <c r="B145" s="1">
        <v>45400</v>
      </c>
      <c r="C145" s="1">
        <v>45426</v>
      </c>
      <c r="D145" s="29">
        <f>Tailordata[[#This Row],[DueDate]]-Tailordata[[#This Row],[Date]]</f>
        <v>26</v>
      </c>
      <c r="E145" t="s">
        <v>29</v>
      </c>
      <c r="F145" t="s">
        <v>30</v>
      </c>
      <c r="G145">
        <v>282</v>
      </c>
      <c r="H145" t="s">
        <v>31</v>
      </c>
      <c r="O145">
        <v>16</v>
      </c>
      <c r="Q145">
        <v>22</v>
      </c>
      <c r="R145">
        <v>14</v>
      </c>
      <c r="S145">
        <v>14</v>
      </c>
      <c r="T145">
        <v>24</v>
      </c>
      <c r="U145">
        <v>21</v>
      </c>
    </row>
    <row r="146" spans="1:23">
      <c r="A146">
        <v>145</v>
      </c>
      <c r="B146" s="1">
        <v>45397</v>
      </c>
      <c r="C146" s="1">
        <v>45437</v>
      </c>
      <c r="D146" s="29">
        <f>Tailordata[[#This Row],[DueDate]]-Tailordata[[#This Row],[Date]]</f>
        <v>40</v>
      </c>
      <c r="E146" t="s">
        <v>35</v>
      </c>
      <c r="F146" t="s">
        <v>25</v>
      </c>
      <c r="G146">
        <v>87</v>
      </c>
      <c r="H146" t="s">
        <v>34</v>
      </c>
      <c r="O146">
        <v>20</v>
      </c>
      <c r="P146">
        <v>16</v>
      </c>
      <c r="Q146">
        <v>23</v>
      </c>
      <c r="R146">
        <v>18</v>
      </c>
      <c r="U146">
        <v>23</v>
      </c>
      <c r="V146">
        <v>15</v>
      </c>
      <c r="W146">
        <v>18</v>
      </c>
    </row>
    <row r="147" spans="1:23">
      <c r="A147">
        <v>146</v>
      </c>
      <c r="B147" s="1">
        <v>45410</v>
      </c>
      <c r="C147" s="1">
        <v>45425</v>
      </c>
      <c r="D147" s="29">
        <f>Tailordata[[#This Row],[DueDate]]-Tailordata[[#This Row],[Date]]</f>
        <v>15</v>
      </c>
      <c r="E147" t="s">
        <v>33</v>
      </c>
      <c r="F147" t="s">
        <v>25</v>
      </c>
      <c r="G147">
        <v>339</v>
      </c>
      <c r="H147" t="s">
        <v>34</v>
      </c>
      <c r="I147">
        <v>15</v>
      </c>
      <c r="J147">
        <v>32</v>
      </c>
      <c r="K147">
        <v>18</v>
      </c>
      <c r="L147">
        <v>17</v>
      </c>
      <c r="M147">
        <v>14</v>
      </c>
      <c r="N147">
        <v>34</v>
      </c>
      <c r="O147">
        <v>18</v>
      </c>
      <c r="Q147">
        <v>18</v>
      </c>
      <c r="R147">
        <v>20</v>
      </c>
    </row>
    <row r="148" spans="1:23">
      <c r="A148">
        <v>147</v>
      </c>
      <c r="B148" s="1">
        <v>45307</v>
      </c>
      <c r="C148" s="1">
        <v>45426</v>
      </c>
      <c r="D148" s="29">
        <f>Tailordata[[#This Row],[DueDate]]-Tailordata[[#This Row],[Date]]</f>
        <v>119</v>
      </c>
      <c r="E148" t="s">
        <v>27</v>
      </c>
      <c r="F148" t="s">
        <v>36</v>
      </c>
      <c r="G148">
        <v>296</v>
      </c>
      <c r="H148" t="s">
        <v>31</v>
      </c>
      <c r="I148">
        <v>19</v>
      </c>
      <c r="J148">
        <v>26</v>
      </c>
      <c r="K148">
        <v>24</v>
      </c>
      <c r="L148">
        <v>22</v>
      </c>
      <c r="N148">
        <v>24</v>
      </c>
      <c r="O148">
        <v>22</v>
      </c>
      <c r="P148">
        <v>16</v>
      </c>
    </row>
    <row r="149" spans="1:23">
      <c r="A149">
        <v>148</v>
      </c>
      <c r="B149" s="1">
        <v>45299</v>
      </c>
      <c r="C149" s="1">
        <v>45427</v>
      </c>
      <c r="D149" s="29">
        <f>Tailordata[[#This Row],[DueDate]]-Tailordata[[#This Row],[Date]]</f>
        <v>128</v>
      </c>
      <c r="E149" t="s">
        <v>27</v>
      </c>
      <c r="F149" t="s">
        <v>23</v>
      </c>
      <c r="G149">
        <v>391</v>
      </c>
      <c r="H149" t="s">
        <v>31</v>
      </c>
      <c r="I149">
        <v>19</v>
      </c>
      <c r="J149">
        <v>38</v>
      </c>
      <c r="K149">
        <v>19</v>
      </c>
      <c r="L149">
        <v>18</v>
      </c>
      <c r="N149">
        <v>50</v>
      </c>
      <c r="O149">
        <v>16</v>
      </c>
      <c r="P149">
        <v>23</v>
      </c>
    </row>
    <row r="150" spans="1:23">
      <c r="A150">
        <v>149</v>
      </c>
      <c r="B150" s="1">
        <v>45354</v>
      </c>
      <c r="C150" s="1">
        <v>45419</v>
      </c>
      <c r="D150" s="29">
        <f>Tailordata[[#This Row],[DueDate]]-Tailordata[[#This Row],[Date]]</f>
        <v>65</v>
      </c>
      <c r="E150" t="s">
        <v>33</v>
      </c>
      <c r="F150" t="s">
        <v>32</v>
      </c>
      <c r="G150">
        <v>354</v>
      </c>
      <c r="H150" t="s">
        <v>34</v>
      </c>
      <c r="I150">
        <v>18</v>
      </c>
      <c r="J150">
        <v>28</v>
      </c>
      <c r="K150">
        <v>14</v>
      </c>
      <c r="L150">
        <v>15</v>
      </c>
      <c r="M150">
        <v>17</v>
      </c>
      <c r="N150">
        <v>49</v>
      </c>
      <c r="O150">
        <v>23</v>
      </c>
      <c r="Q150">
        <v>21</v>
      </c>
      <c r="R150">
        <v>14</v>
      </c>
    </row>
    <row r="151" spans="1:23">
      <c r="A151">
        <v>150</v>
      </c>
      <c r="B151" s="1">
        <v>45384</v>
      </c>
      <c r="C151" s="1">
        <v>45414</v>
      </c>
      <c r="D151" s="29">
        <f>Tailordata[[#This Row],[DueDate]]-Tailordata[[#This Row],[Date]]</f>
        <v>30</v>
      </c>
      <c r="E151" t="s">
        <v>29</v>
      </c>
      <c r="F151" t="s">
        <v>25</v>
      </c>
      <c r="G151">
        <v>91</v>
      </c>
      <c r="H151" t="s">
        <v>31</v>
      </c>
      <c r="O151">
        <v>16</v>
      </c>
      <c r="Q151">
        <v>20</v>
      </c>
      <c r="R151">
        <v>19</v>
      </c>
      <c r="S151">
        <v>18</v>
      </c>
      <c r="T151">
        <v>24</v>
      </c>
      <c r="U151">
        <v>21</v>
      </c>
    </row>
    <row r="152" spans="1:23">
      <c r="A152">
        <v>151</v>
      </c>
      <c r="B152" s="1">
        <v>45341</v>
      </c>
      <c r="C152" s="1">
        <v>45432</v>
      </c>
      <c r="D152" s="29">
        <f>Tailordata[[#This Row],[DueDate]]-Tailordata[[#This Row],[Date]]</f>
        <v>91</v>
      </c>
      <c r="E152" t="s">
        <v>29</v>
      </c>
      <c r="F152" t="s">
        <v>25</v>
      </c>
      <c r="G152">
        <v>405</v>
      </c>
      <c r="H152" t="s">
        <v>34</v>
      </c>
      <c r="O152">
        <v>18</v>
      </c>
      <c r="Q152">
        <v>14</v>
      </c>
      <c r="R152">
        <v>24</v>
      </c>
      <c r="S152">
        <v>21</v>
      </c>
      <c r="T152">
        <v>15</v>
      </c>
      <c r="U152">
        <v>23</v>
      </c>
    </row>
    <row r="153" spans="1:23">
      <c r="A153">
        <v>152</v>
      </c>
      <c r="B153" s="1">
        <v>45323</v>
      </c>
      <c r="C153" s="1">
        <v>45417</v>
      </c>
      <c r="D153" s="29">
        <f>Tailordata[[#This Row],[DueDate]]-Tailordata[[#This Row],[Date]]</f>
        <v>94</v>
      </c>
      <c r="E153" t="s">
        <v>35</v>
      </c>
      <c r="F153" t="s">
        <v>25</v>
      </c>
      <c r="G153">
        <v>306</v>
      </c>
      <c r="H153" t="s">
        <v>26</v>
      </c>
      <c r="O153">
        <v>24</v>
      </c>
      <c r="P153">
        <v>16</v>
      </c>
      <c r="Q153">
        <v>21</v>
      </c>
      <c r="R153">
        <v>17</v>
      </c>
      <c r="U153">
        <v>15</v>
      </c>
      <c r="V153">
        <v>17</v>
      </c>
      <c r="W153">
        <v>22</v>
      </c>
    </row>
    <row r="154" spans="1:23">
      <c r="A154">
        <v>153</v>
      </c>
      <c r="B154" s="1">
        <v>45351</v>
      </c>
      <c r="C154" s="1">
        <v>45411</v>
      </c>
      <c r="D154" s="29">
        <f>Tailordata[[#This Row],[DueDate]]-Tailordata[[#This Row],[Date]]</f>
        <v>60</v>
      </c>
      <c r="E154" t="s">
        <v>22</v>
      </c>
      <c r="F154" t="s">
        <v>25</v>
      </c>
      <c r="G154">
        <v>102</v>
      </c>
      <c r="H154" t="s">
        <v>26</v>
      </c>
      <c r="I154">
        <v>15</v>
      </c>
      <c r="J154">
        <v>33</v>
      </c>
      <c r="K154">
        <v>15</v>
      </c>
      <c r="L154">
        <v>24</v>
      </c>
      <c r="M154">
        <v>23</v>
      </c>
    </row>
    <row r="155" spans="1:23">
      <c r="A155">
        <v>154</v>
      </c>
      <c r="B155" s="1">
        <v>45395</v>
      </c>
      <c r="C155" s="1">
        <v>45438</v>
      </c>
      <c r="D155" s="29">
        <f>Tailordata[[#This Row],[DueDate]]-Tailordata[[#This Row],[Date]]</f>
        <v>43</v>
      </c>
      <c r="E155" t="s">
        <v>35</v>
      </c>
      <c r="F155" t="s">
        <v>30</v>
      </c>
      <c r="G155">
        <v>471</v>
      </c>
      <c r="H155" t="s">
        <v>28</v>
      </c>
      <c r="O155">
        <v>17</v>
      </c>
      <c r="P155">
        <v>20</v>
      </c>
      <c r="Q155">
        <v>15</v>
      </c>
      <c r="R155">
        <v>24</v>
      </c>
      <c r="U155">
        <v>18</v>
      </c>
      <c r="V155">
        <v>19</v>
      </c>
      <c r="W155">
        <v>22</v>
      </c>
    </row>
    <row r="156" spans="1:23">
      <c r="A156">
        <v>155</v>
      </c>
      <c r="B156" s="1">
        <v>45365</v>
      </c>
      <c r="C156" s="1">
        <v>45411</v>
      </c>
      <c r="D156" s="29">
        <f>Tailordata[[#This Row],[DueDate]]-Tailordata[[#This Row],[Date]]</f>
        <v>46</v>
      </c>
      <c r="E156" t="s">
        <v>29</v>
      </c>
      <c r="F156" t="s">
        <v>25</v>
      </c>
      <c r="G156">
        <v>469</v>
      </c>
      <c r="H156" t="s">
        <v>24</v>
      </c>
      <c r="O156">
        <v>18</v>
      </c>
      <c r="Q156">
        <v>17</v>
      </c>
      <c r="R156">
        <v>23</v>
      </c>
      <c r="S156">
        <v>17</v>
      </c>
      <c r="T156">
        <v>23</v>
      </c>
      <c r="U156">
        <v>16</v>
      </c>
    </row>
    <row r="157" spans="1:23">
      <c r="A157">
        <v>156</v>
      </c>
      <c r="B157" s="1">
        <v>45350</v>
      </c>
      <c r="C157" s="1">
        <v>45436</v>
      </c>
      <c r="D157" s="29">
        <f>Tailordata[[#This Row],[DueDate]]-Tailordata[[#This Row],[Date]]</f>
        <v>86</v>
      </c>
      <c r="E157" t="s">
        <v>27</v>
      </c>
      <c r="F157" t="s">
        <v>32</v>
      </c>
      <c r="G157">
        <v>248</v>
      </c>
      <c r="H157" t="s">
        <v>26</v>
      </c>
      <c r="I157">
        <v>21</v>
      </c>
      <c r="J157">
        <v>46</v>
      </c>
      <c r="K157">
        <v>15</v>
      </c>
      <c r="L157">
        <v>15</v>
      </c>
      <c r="N157">
        <v>21</v>
      </c>
      <c r="O157">
        <v>15</v>
      </c>
      <c r="P157">
        <v>21</v>
      </c>
    </row>
    <row r="158" spans="1:23">
      <c r="A158">
        <v>157</v>
      </c>
      <c r="B158" s="1">
        <v>45387</v>
      </c>
      <c r="C158" s="1">
        <v>45422</v>
      </c>
      <c r="D158" s="29">
        <f>Tailordata[[#This Row],[DueDate]]-Tailordata[[#This Row],[Date]]</f>
        <v>35</v>
      </c>
      <c r="E158" t="s">
        <v>29</v>
      </c>
      <c r="F158" t="s">
        <v>36</v>
      </c>
      <c r="G158">
        <v>166</v>
      </c>
      <c r="H158" t="s">
        <v>34</v>
      </c>
      <c r="O158">
        <v>17</v>
      </c>
      <c r="Q158">
        <v>14</v>
      </c>
      <c r="R158">
        <v>16</v>
      </c>
      <c r="S158">
        <v>19</v>
      </c>
      <c r="T158">
        <v>17</v>
      </c>
      <c r="U158">
        <v>14</v>
      </c>
    </row>
    <row r="159" spans="1:23">
      <c r="A159">
        <v>158</v>
      </c>
      <c r="B159" s="1">
        <v>45337</v>
      </c>
      <c r="C159" s="1">
        <v>45432</v>
      </c>
      <c r="D159" s="29">
        <f>Tailordata[[#This Row],[DueDate]]-Tailordata[[#This Row],[Date]]</f>
        <v>95</v>
      </c>
      <c r="E159" t="s">
        <v>29</v>
      </c>
      <c r="F159" t="s">
        <v>25</v>
      </c>
      <c r="G159">
        <v>84</v>
      </c>
      <c r="H159" t="s">
        <v>24</v>
      </c>
      <c r="O159">
        <v>15</v>
      </c>
      <c r="Q159">
        <v>24</v>
      </c>
      <c r="R159">
        <v>24</v>
      </c>
      <c r="S159">
        <v>24</v>
      </c>
      <c r="T159">
        <v>24</v>
      </c>
      <c r="U159">
        <v>17</v>
      </c>
    </row>
    <row r="160" spans="1:23">
      <c r="A160">
        <v>159</v>
      </c>
      <c r="B160" s="1">
        <v>45367</v>
      </c>
      <c r="C160" s="1">
        <v>45435</v>
      </c>
      <c r="D160" s="29">
        <f>Tailordata[[#This Row],[DueDate]]-Tailordata[[#This Row],[Date]]</f>
        <v>68</v>
      </c>
      <c r="E160" t="s">
        <v>22</v>
      </c>
      <c r="F160" t="s">
        <v>30</v>
      </c>
      <c r="G160">
        <v>123</v>
      </c>
      <c r="H160" t="s">
        <v>28</v>
      </c>
      <c r="I160">
        <v>22</v>
      </c>
      <c r="J160">
        <v>43</v>
      </c>
      <c r="K160">
        <v>21</v>
      </c>
      <c r="L160">
        <v>22</v>
      </c>
      <c r="M160">
        <v>23</v>
      </c>
    </row>
    <row r="161" spans="1:23">
      <c r="A161">
        <v>160</v>
      </c>
      <c r="B161" s="1">
        <v>45370</v>
      </c>
      <c r="C161" s="1">
        <v>45412</v>
      </c>
      <c r="D161" s="29">
        <f>Tailordata[[#This Row],[DueDate]]-Tailordata[[#This Row],[Date]]</f>
        <v>42</v>
      </c>
      <c r="E161" t="s">
        <v>22</v>
      </c>
      <c r="F161" t="s">
        <v>32</v>
      </c>
      <c r="G161">
        <v>457</v>
      </c>
      <c r="H161" t="s">
        <v>31</v>
      </c>
      <c r="I161">
        <v>16</v>
      </c>
      <c r="J161">
        <v>46</v>
      </c>
      <c r="K161">
        <v>23</v>
      </c>
      <c r="L161">
        <v>23</v>
      </c>
      <c r="M161">
        <v>19</v>
      </c>
    </row>
    <row r="162" spans="1:23">
      <c r="A162">
        <v>161</v>
      </c>
      <c r="B162" s="1">
        <v>45374</v>
      </c>
      <c r="C162" s="1">
        <v>45411</v>
      </c>
      <c r="D162" s="29">
        <f>Tailordata[[#This Row],[DueDate]]-Tailordata[[#This Row],[Date]]</f>
        <v>37</v>
      </c>
      <c r="E162" t="s">
        <v>35</v>
      </c>
      <c r="F162" t="s">
        <v>30</v>
      </c>
      <c r="G162">
        <v>385</v>
      </c>
      <c r="H162" t="s">
        <v>28</v>
      </c>
      <c r="O162">
        <v>14</v>
      </c>
      <c r="P162">
        <v>16</v>
      </c>
      <c r="Q162">
        <v>17</v>
      </c>
      <c r="R162">
        <v>17</v>
      </c>
      <c r="U162">
        <v>15</v>
      </c>
      <c r="V162">
        <v>21</v>
      </c>
      <c r="W162">
        <v>16</v>
      </c>
    </row>
    <row r="163" spans="1:23">
      <c r="A163">
        <v>162</v>
      </c>
      <c r="B163" s="1">
        <v>45381</v>
      </c>
      <c r="C163" s="1">
        <v>45433</v>
      </c>
      <c r="D163" s="29">
        <f>Tailordata[[#This Row],[DueDate]]-Tailordata[[#This Row],[Date]]</f>
        <v>52</v>
      </c>
      <c r="E163" t="s">
        <v>22</v>
      </c>
      <c r="F163" t="s">
        <v>30</v>
      </c>
      <c r="G163">
        <v>254</v>
      </c>
      <c r="H163" t="s">
        <v>28</v>
      </c>
      <c r="I163">
        <v>24</v>
      </c>
      <c r="J163">
        <v>48</v>
      </c>
      <c r="K163">
        <v>22</v>
      </c>
      <c r="L163">
        <v>23</v>
      </c>
      <c r="M163">
        <v>24</v>
      </c>
    </row>
    <row r="164" spans="1:23">
      <c r="A164">
        <v>163</v>
      </c>
      <c r="B164" s="1">
        <v>45407</v>
      </c>
      <c r="C164" s="1">
        <v>45437</v>
      </c>
      <c r="D164" s="29">
        <f>Tailordata[[#This Row],[DueDate]]-Tailordata[[#This Row],[Date]]</f>
        <v>30</v>
      </c>
      <c r="E164" t="s">
        <v>29</v>
      </c>
      <c r="F164" t="s">
        <v>23</v>
      </c>
      <c r="G164">
        <v>425</v>
      </c>
      <c r="H164" t="s">
        <v>34</v>
      </c>
      <c r="O164">
        <v>16</v>
      </c>
      <c r="Q164">
        <v>18</v>
      </c>
      <c r="R164">
        <v>16</v>
      </c>
      <c r="S164">
        <v>21</v>
      </c>
      <c r="T164">
        <v>23</v>
      </c>
      <c r="U164">
        <v>15</v>
      </c>
    </row>
    <row r="165" spans="1:23">
      <c r="A165">
        <v>164</v>
      </c>
      <c r="B165" s="1">
        <v>45389</v>
      </c>
      <c r="C165" s="1">
        <v>45433</v>
      </c>
      <c r="D165" s="29">
        <f>Tailordata[[#This Row],[DueDate]]-Tailordata[[#This Row],[Date]]</f>
        <v>44</v>
      </c>
      <c r="E165" t="s">
        <v>29</v>
      </c>
      <c r="F165" t="s">
        <v>36</v>
      </c>
      <c r="G165">
        <v>331</v>
      </c>
      <c r="H165" t="s">
        <v>26</v>
      </c>
      <c r="O165">
        <v>16</v>
      </c>
      <c r="Q165">
        <v>23</v>
      </c>
      <c r="R165">
        <v>14</v>
      </c>
      <c r="S165">
        <v>15</v>
      </c>
      <c r="T165">
        <v>17</v>
      </c>
      <c r="U165">
        <v>19</v>
      </c>
    </row>
    <row r="166" spans="1:23">
      <c r="A166">
        <v>165</v>
      </c>
      <c r="B166" s="1">
        <v>45366</v>
      </c>
      <c r="C166" s="1">
        <v>45421</v>
      </c>
      <c r="D166" s="29">
        <f>Tailordata[[#This Row],[DueDate]]-Tailordata[[#This Row],[Date]]</f>
        <v>55</v>
      </c>
      <c r="E166" t="s">
        <v>27</v>
      </c>
      <c r="F166" t="s">
        <v>32</v>
      </c>
      <c r="G166">
        <v>453</v>
      </c>
      <c r="H166" t="s">
        <v>26</v>
      </c>
      <c r="I166">
        <v>19</v>
      </c>
      <c r="J166">
        <v>38</v>
      </c>
      <c r="K166">
        <v>14</v>
      </c>
      <c r="L166">
        <v>17</v>
      </c>
      <c r="N166">
        <v>49</v>
      </c>
      <c r="O166">
        <v>16</v>
      </c>
      <c r="P166">
        <v>17</v>
      </c>
    </row>
    <row r="167" spans="1:23">
      <c r="A167">
        <v>166</v>
      </c>
      <c r="B167" s="1">
        <v>45366</v>
      </c>
      <c r="C167" s="1">
        <v>45419</v>
      </c>
      <c r="D167" s="29">
        <f>Tailordata[[#This Row],[DueDate]]-Tailordata[[#This Row],[Date]]</f>
        <v>53</v>
      </c>
      <c r="E167" t="s">
        <v>22</v>
      </c>
      <c r="F167" t="s">
        <v>32</v>
      </c>
      <c r="G167">
        <v>264</v>
      </c>
      <c r="H167" t="s">
        <v>34</v>
      </c>
      <c r="I167">
        <v>17</v>
      </c>
      <c r="J167">
        <v>49</v>
      </c>
      <c r="K167">
        <v>23</v>
      </c>
      <c r="L167">
        <v>22</v>
      </c>
      <c r="M167">
        <v>23</v>
      </c>
    </row>
    <row r="168" spans="1:23">
      <c r="A168">
        <v>167</v>
      </c>
      <c r="B168" s="1">
        <v>45346</v>
      </c>
      <c r="C168" s="1">
        <v>45429</v>
      </c>
      <c r="D168" s="29">
        <f>Tailordata[[#This Row],[DueDate]]-Tailordata[[#This Row],[Date]]</f>
        <v>83</v>
      </c>
      <c r="E168" t="s">
        <v>27</v>
      </c>
      <c r="F168" t="s">
        <v>36</v>
      </c>
      <c r="G168">
        <v>137</v>
      </c>
      <c r="H168" t="s">
        <v>26</v>
      </c>
      <c r="I168">
        <v>18</v>
      </c>
      <c r="J168">
        <v>26</v>
      </c>
      <c r="K168">
        <v>16</v>
      </c>
      <c r="L168">
        <v>15</v>
      </c>
      <c r="N168">
        <v>22</v>
      </c>
      <c r="O168">
        <v>15</v>
      </c>
      <c r="P168">
        <v>21</v>
      </c>
    </row>
    <row r="169" spans="1:23">
      <c r="A169">
        <v>168</v>
      </c>
      <c r="B169" s="1">
        <v>45377</v>
      </c>
      <c r="C169" s="1">
        <v>45438</v>
      </c>
      <c r="D169" s="29">
        <f>Tailordata[[#This Row],[DueDate]]-Tailordata[[#This Row],[Date]]</f>
        <v>61</v>
      </c>
      <c r="E169" t="s">
        <v>27</v>
      </c>
      <c r="F169" t="s">
        <v>25</v>
      </c>
      <c r="G169">
        <v>137</v>
      </c>
      <c r="H169" t="s">
        <v>24</v>
      </c>
      <c r="I169">
        <v>24</v>
      </c>
      <c r="J169">
        <v>43</v>
      </c>
      <c r="K169">
        <v>15</v>
      </c>
      <c r="L169">
        <v>22</v>
      </c>
      <c r="N169">
        <v>39</v>
      </c>
      <c r="O169">
        <v>21</v>
      </c>
      <c r="P169">
        <v>15</v>
      </c>
    </row>
    <row r="170" spans="1:23">
      <c r="A170">
        <v>169</v>
      </c>
      <c r="B170" s="1">
        <v>45371</v>
      </c>
      <c r="C170" s="1">
        <v>45428</v>
      </c>
      <c r="D170" s="29">
        <f>Tailordata[[#This Row],[DueDate]]-Tailordata[[#This Row],[Date]]</f>
        <v>57</v>
      </c>
      <c r="E170" t="s">
        <v>29</v>
      </c>
      <c r="F170" t="s">
        <v>36</v>
      </c>
      <c r="G170">
        <v>416</v>
      </c>
      <c r="H170" t="s">
        <v>34</v>
      </c>
      <c r="O170">
        <v>19</v>
      </c>
      <c r="Q170">
        <v>23</v>
      </c>
      <c r="R170">
        <v>20</v>
      </c>
      <c r="S170">
        <v>22</v>
      </c>
      <c r="T170">
        <v>23</v>
      </c>
      <c r="U170">
        <v>16</v>
      </c>
    </row>
    <row r="171" spans="1:23">
      <c r="A171">
        <v>170</v>
      </c>
      <c r="B171" s="1">
        <v>45390</v>
      </c>
      <c r="C171" s="1">
        <v>45432</v>
      </c>
      <c r="D171" s="29">
        <f>Tailordata[[#This Row],[DueDate]]-Tailordata[[#This Row],[Date]]</f>
        <v>42</v>
      </c>
      <c r="E171" t="s">
        <v>33</v>
      </c>
      <c r="F171" t="s">
        <v>32</v>
      </c>
      <c r="G171">
        <v>235</v>
      </c>
      <c r="H171" t="s">
        <v>26</v>
      </c>
      <c r="I171">
        <v>18</v>
      </c>
      <c r="J171">
        <v>27</v>
      </c>
      <c r="K171">
        <v>14</v>
      </c>
      <c r="L171">
        <v>16</v>
      </c>
      <c r="M171">
        <v>19</v>
      </c>
      <c r="N171">
        <v>46</v>
      </c>
      <c r="O171">
        <v>20</v>
      </c>
      <c r="Q171">
        <v>20</v>
      </c>
      <c r="R171">
        <v>16</v>
      </c>
    </row>
    <row r="172" spans="1:23">
      <c r="A172">
        <v>171</v>
      </c>
      <c r="B172" s="1">
        <v>45340</v>
      </c>
      <c r="C172" s="1">
        <v>45418</v>
      </c>
      <c r="D172" s="29">
        <f>Tailordata[[#This Row],[DueDate]]-Tailordata[[#This Row],[Date]]</f>
        <v>78</v>
      </c>
      <c r="E172" t="s">
        <v>35</v>
      </c>
      <c r="F172" t="s">
        <v>32</v>
      </c>
      <c r="G172">
        <v>251</v>
      </c>
      <c r="H172" t="s">
        <v>31</v>
      </c>
      <c r="O172">
        <v>22</v>
      </c>
      <c r="P172">
        <v>22</v>
      </c>
      <c r="Q172">
        <v>19</v>
      </c>
      <c r="R172">
        <v>23</v>
      </c>
      <c r="U172">
        <v>14</v>
      </c>
      <c r="V172">
        <v>17</v>
      </c>
      <c r="W172">
        <v>20</v>
      </c>
    </row>
    <row r="173" spans="1:23">
      <c r="A173">
        <v>172</v>
      </c>
      <c r="B173" s="1">
        <v>45409</v>
      </c>
      <c r="C173" s="1">
        <v>45421</v>
      </c>
      <c r="D173" s="29">
        <f>Tailordata[[#This Row],[DueDate]]-Tailordata[[#This Row],[Date]]</f>
        <v>12</v>
      </c>
      <c r="E173" t="s">
        <v>35</v>
      </c>
      <c r="F173" t="s">
        <v>36</v>
      </c>
      <c r="G173">
        <v>482</v>
      </c>
      <c r="H173" t="s">
        <v>24</v>
      </c>
      <c r="O173">
        <v>14</v>
      </c>
      <c r="P173">
        <v>15</v>
      </c>
      <c r="Q173">
        <v>24</v>
      </c>
      <c r="R173">
        <v>24</v>
      </c>
      <c r="U173">
        <v>17</v>
      </c>
      <c r="V173">
        <v>24</v>
      </c>
      <c r="W173">
        <v>19</v>
      </c>
    </row>
    <row r="174" spans="1:23">
      <c r="A174">
        <v>173</v>
      </c>
      <c r="B174" s="1">
        <v>45317</v>
      </c>
      <c r="C174" s="1">
        <v>45424</v>
      </c>
      <c r="D174" s="29">
        <f>Tailordata[[#This Row],[DueDate]]-Tailordata[[#This Row],[Date]]</f>
        <v>107</v>
      </c>
      <c r="E174" t="s">
        <v>22</v>
      </c>
      <c r="F174" t="s">
        <v>36</v>
      </c>
      <c r="G174">
        <v>446</v>
      </c>
      <c r="H174" t="s">
        <v>24</v>
      </c>
      <c r="I174">
        <v>18</v>
      </c>
      <c r="J174">
        <v>27</v>
      </c>
      <c r="K174">
        <v>24</v>
      </c>
      <c r="L174">
        <v>16</v>
      </c>
      <c r="M174">
        <v>14</v>
      </c>
    </row>
    <row r="175" spans="1:23">
      <c r="A175">
        <v>174</v>
      </c>
      <c r="B175" s="1">
        <v>45309</v>
      </c>
      <c r="C175" s="1">
        <v>45417</v>
      </c>
      <c r="D175" s="29">
        <f>Tailordata[[#This Row],[DueDate]]-Tailordata[[#This Row],[Date]]</f>
        <v>108</v>
      </c>
      <c r="E175" t="s">
        <v>35</v>
      </c>
      <c r="F175" t="s">
        <v>32</v>
      </c>
      <c r="G175">
        <v>475</v>
      </c>
      <c r="H175" t="s">
        <v>34</v>
      </c>
      <c r="O175">
        <v>17</v>
      </c>
      <c r="P175">
        <v>17</v>
      </c>
      <c r="Q175">
        <v>19</v>
      </c>
      <c r="R175">
        <v>20</v>
      </c>
      <c r="U175">
        <v>23</v>
      </c>
      <c r="V175">
        <v>24</v>
      </c>
      <c r="W175">
        <v>21</v>
      </c>
    </row>
    <row r="176" spans="1:23">
      <c r="A176">
        <v>175</v>
      </c>
      <c r="B176" s="1">
        <v>45396</v>
      </c>
      <c r="C176" s="1">
        <v>45425</v>
      </c>
      <c r="D176" s="29">
        <f>Tailordata[[#This Row],[DueDate]]-Tailordata[[#This Row],[Date]]</f>
        <v>29</v>
      </c>
      <c r="E176" t="s">
        <v>27</v>
      </c>
      <c r="F176" t="s">
        <v>30</v>
      </c>
      <c r="G176">
        <v>121</v>
      </c>
      <c r="H176" t="s">
        <v>31</v>
      </c>
      <c r="I176">
        <v>22</v>
      </c>
      <c r="J176">
        <v>26</v>
      </c>
      <c r="K176">
        <v>22</v>
      </c>
      <c r="L176">
        <v>15</v>
      </c>
      <c r="N176">
        <v>29</v>
      </c>
      <c r="O176">
        <v>24</v>
      </c>
      <c r="P176">
        <v>20</v>
      </c>
    </row>
    <row r="177" spans="1:23">
      <c r="A177">
        <v>176</v>
      </c>
      <c r="B177" s="1">
        <v>45335</v>
      </c>
      <c r="C177" s="1">
        <v>45416</v>
      </c>
      <c r="D177" s="29">
        <f>Tailordata[[#This Row],[DueDate]]-Tailordata[[#This Row],[Date]]</f>
        <v>81</v>
      </c>
      <c r="E177" t="s">
        <v>35</v>
      </c>
      <c r="F177" t="s">
        <v>25</v>
      </c>
      <c r="G177">
        <v>239</v>
      </c>
      <c r="H177" t="s">
        <v>26</v>
      </c>
      <c r="O177">
        <v>24</v>
      </c>
      <c r="P177">
        <v>20</v>
      </c>
      <c r="Q177">
        <v>19</v>
      </c>
      <c r="R177">
        <v>19</v>
      </c>
      <c r="U177">
        <v>18</v>
      </c>
      <c r="V177">
        <v>15</v>
      </c>
      <c r="W177">
        <v>19</v>
      </c>
    </row>
    <row r="178" spans="1:23">
      <c r="A178">
        <v>177</v>
      </c>
      <c r="B178" s="1">
        <v>45314</v>
      </c>
      <c r="C178" s="1">
        <v>45412</v>
      </c>
      <c r="D178" s="29">
        <f>Tailordata[[#This Row],[DueDate]]-Tailordata[[#This Row],[Date]]</f>
        <v>98</v>
      </c>
      <c r="E178" t="s">
        <v>29</v>
      </c>
      <c r="F178" t="s">
        <v>32</v>
      </c>
      <c r="G178">
        <v>183</v>
      </c>
      <c r="H178" t="s">
        <v>28</v>
      </c>
      <c r="O178">
        <v>21</v>
      </c>
      <c r="Q178">
        <v>21</v>
      </c>
      <c r="R178">
        <v>22</v>
      </c>
      <c r="S178">
        <v>17</v>
      </c>
      <c r="T178">
        <v>14</v>
      </c>
      <c r="U178">
        <v>15</v>
      </c>
    </row>
    <row r="179" spans="1:23">
      <c r="A179">
        <v>178</v>
      </c>
      <c r="B179" s="1">
        <v>45361</v>
      </c>
      <c r="C179" s="1">
        <v>45435</v>
      </c>
      <c r="D179" s="29">
        <f>Tailordata[[#This Row],[DueDate]]-Tailordata[[#This Row],[Date]]</f>
        <v>74</v>
      </c>
      <c r="E179" t="s">
        <v>22</v>
      </c>
      <c r="F179" t="s">
        <v>36</v>
      </c>
      <c r="G179">
        <v>95</v>
      </c>
      <c r="H179" t="s">
        <v>28</v>
      </c>
      <c r="I179">
        <v>19</v>
      </c>
      <c r="J179">
        <v>29</v>
      </c>
      <c r="K179">
        <v>21</v>
      </c>
      <c r="L179">
        <v>21</v>
      </c>
      <c r="M179">
        <v>20</v>
      </c>
    </row>
    <row r="180" spans="1:23">
      <c r="A180">
        <v>179</v>
      </c>
      <c r="B180" s="1">
        <v>45371</v>
      </c>
      <c r="C180" s="1">
        <v>45426</v>
      </c>
      <c r="D180" s="29">
        <f>Tailordata[[#This Row],[DueDate]]-Tailordata[[#This Row],[Date]]</f>
        <v>55</v>
      </c>
      <c r="E180" t="s">
        <v>27</v>
      </c>
      <c r="F180" t="s">
        <v>30</v>
      </c>
      <c r="G180">
        <v>418</v>
      </c>
      <c r="H180" t="s">
        <v>34</v>
      </c>
      <c r="I180">
        <v>17</v>
      </c>
      <c r="J180">
        <v>27</v>
      </c>
      <c r="K180">
        <v>20</v>
      </c>
      <c r="L180">
        <v>15</v>
      </c>
      <c r="N180">
        <v>38</v>
      </c>
      <c r="O180">
        <v>18</v>
      </c>
      <c r="P180">
        <v>23</v>
      </c>
    </row>
    <row r="181" spans="1:23">
      <c r="A181">
        <v>180</v>
      </c>
      <c r="B181" s="1">
        <v>45357</v>
      </c>
      <c r="C181" s="1">
        <v>45427</v>
      </c>
      <c r="D181" s="29">
        <f>Tailordata[[#This Row],[DueDate]]-Tailordata[[#This Row],[Date]]</f>
        <v>70</v>
      </c>
      <c r="E181" t="s">
        <v>27</v>
      </c>
      <c r="F181" t="s">
        <v>23</v>
      </c>
      <c r="G181">
        <v>394</v>
      </c>
      <c r="H181" t="s">
        <v>26</v>
      </c>
      <c r="I181">
        <v>23</v>
      </c>
      <c r="J181">
        <v>24</v>
      </c>
      <c r="K181">
        <v>15</v>
      </c>
      <c r="L181">
        <v>23</v>
      </c>
      <c r="N181">
        <v>36</v>
      </c>
      <c r="O181">
        <v>14</v>
      </c>
      <c r="P181">
        <v>20</v>
      </c>
    </row>
    <row r="182" spans="1:23">
      <c r="A182">
        <v>181</v>
      </c>
      <c r="B182" s="1">
        <v>45296</v>
      </c>
      <c r="C182" s="1">
        <v>45423</v>
      </c>
      <c r="D182" s="29">
        <f>Tailordata[[#This Row],[DueDate]]-Tailordata[[#This Row],[Date]]</f>
        <v>127</v>
      </c>
      <c r="E182" t="s">
        <v>29</v>
      </c>
      <c r="F182" t="s">
        <v>25</v>
      </c>
      <c r="G182">
        <v>53</v>
      </c>
      <c r="H182" t="s">
        <v>34</v>
      </c>
      <c r="O182">
        <v>19</v>
      </c>
      <c r="Q182">
        <v>20</v>
      </c>
      <c r="R182">
        <v>14</v>
      </c>
      <c r="S182">
        <v>23</v>
      </c>
      <c r="T182">
        <v>18</v>
      </c>
      <c r="U182">
        <v>16</v>
      </c>
    </row>
    <row r="183" spans="1:23">
      <c r="A183">
        <v>182</v>
      </c>
      <c r="B183" s="1">
        <v>45313</v>
      </c>
      <c r="C183" s="1">
        <v>45424</v>
      </c>
      <c r="D183" s="29">
        <f>Tailordata[[#This Row],[DueDate]]-Tailordata[[#This Row],[Date]]</f>
        <v>111</v>
      </c>
      <c r="E183" t="s">
        <v>27</v>
      </c>
      <c r="F183" t="s">
        <v>30</v>
      </c>
      <c r="G183">
        <v>259</v>
      </c>
      <c r="H183" t="s">
        <v>34</v>
      </c>
      <c r="I183">
        <v>17</v>
      </c>
      <c r="J183">
        <v>48</v>
      </c>
      <c r="K183">
        <v>15</v>
      </c>
      <c r="L183">
        <v>19</v>
      </c>
      <c r="N183">
        <v>29</v>
      </c>
      <c r="O183">
        <v>24</v>
      </c>
      <c r="P183">
        <v>20</v>
      </c>
    </row>
    <row r="184" spans="1:23">
      <c r="A184">
        <v>183</v>
      </c>
      <c r="B184" s="1">
        <v>45396</v>
      </c>
      <c r="C184" s="1">
        <v>45428</v>
      </c>
      <c r="D184" s="29">
        <f>Tailordata[[#This Row],[DueDate]]-Tailordata[[#This Row],[Date]]</f>
        <v>32</v>
      </c>
      <c r="E184" t="s">
        <v>27</v>
      </c>
      <c r="F184" t="s">
        <v>30</v>
      </c>
      <c r="G184">
        <v>434</v>
      </c>
      <c r="H184" t="s">
        <v>31</v>
      </c>
      <c r="I184">
        <v>14</v>
      </c>
      <c r="J184">
        <v>49</v>
      </c>
      <c r="K184">
        <v>16</v>
      </c>
      <c r="L184">
        <v>17</v>
      </c>
      <c r="N184">
        <v>31</v>
      </c>
      <c r="O184">
        <v>15</v>
      </c>
      <c r="P184">
        <v>24</v>
      </c>
    </row>
    <row r="185" spans="1:23">
      <c r="A185">
        <v>184</v>
      </c>
      <c r="B185" s="1">
        <v>45312</v>
      </c>
      <c r="C185" s="1">
        <v>45419</v>
      </c>
      <c r="D185" s="29">
        <f>Tailordata[[#This Row],[DueDate]]-Tailordata[[#This Row],[Date]]</f>
        <v>107</v>
      </c>
      <c r="E185" t="s">
        <v>35</v>
      </c>
      <c r="F185" t="s">
        <v>25</v>
      </c>
      <c r="G185">
        <v>498</v>
      </c>
      <c r="H185" t="s">
        <v>28</v>
      </c>
      <c r="O185">
        <v>17</v>
      </c>
      <c r="P185">
        <v>22</v>
      </c>
      <c r="Q185">
        <v>15</v>
      </c>
      <c r="R185">
        <v>15</v>
      </c>
      <c r="U185">
        <v>15</v>
      </c>
      <c r="V185">
        <v>19</v>
      </c>
      <c r="W185">
        <v>19</v>
      </c>
    </row>
    <row r="186" spans="1:23">
      <c r="A186">
        <v>185</v>
      </c>
      <c r="B186" s="1">
        <v>45328</v>
      </c>
      <c r="C186" s="1">
        <v>45413</v>
      </c>
      <c r="D186" s="29">
        <f>Tailordata[[#This Row],[DueDate]]-Tailordata[[#This Row],[Date]]</f>
        <v>85</v>
      </c>
      <c r="E186" t="s">
        <v>29</v>
      </c>
      <c r="F186" t="s">
        <v>23</v>
      </c>
      <c r="G186">
        <v>108</v>
      </c>
      <c r="H186" t="s">
        <v>26</v>
      </c>
      <c r="O186">
        <v>23</v>
      </c>
      <c r="Q186">
        <v>23</v>
      </c>
      <c r="R186">
        <v>21</v>
      </c>
      <c r="S186">
        <v>20</v>
      </c>
      <c r="T186">
        <v>16</v>
      </c>
      <c r="U186">
        <v>18</v>
      </c>
    </row>
    <row r="187" spans="1:23">
      <c r="A187">
        <v>186</v>
      </c>
      <c r="B187" s="1">
        <v>45296</v>
      </c>
      <c r="C187" s="1">
        <v>45432</v>
      </c>
      <c r="D187" s="29">
        <f>Tailordata[[#This Row],[DueDate]]-Tailordata[[#This Row],[Date]]</f>
        <v>136</v>
      </c>
      <c r="E187" t="s">
        <v>22</v>
      </c>
      <c r="F187" t="s">
        <v>23</v>
      </c>
      <c r="G187">
        <v>342</v>
      </c>
      <c r="H187" t="s">
        <v>31</v>
      </c>
      <c r="I187">
        <v>20</v>
      </c>
      <c r="J187">
        <v>35</v>
      </c>
      <c r="K187">
        <v>22</v>
      </c>
      <c r="L187">
        <v>19</v>
      </c>
      <c r="M187">
        <v>17</v>
      </c>
    </row>
    <row r="188" spans="1:23">
      <c r="A188">
        <v>187</v>
      </c>
      <c r="B188" s="1">
        <v>45372</v>
      </c>
      <c r="C188" s="1">
        <v>45411</v>
      </c>
      <c r="D188" s="29">
        <f>Tailordata[[#This Row],[DueDate]]-Tailordata[[#This Row],[Date]]</f>
        <v>39</v>
      </c>
      <c r="E188" t="s">
        <v>35</v>
      </c>
      <c r="F188" t="s">
        <v>23</v>
      </c>
      <c r="G188">
        <v>127</v>
      </c>
      <c r="H188" t="s">
        <v>24</v>
      </c>
      <c r="O188">
        <v>14</v>
      </c>
      <c r="P188">
        <v>23</v>
      </c>
      <c r="Q188">
        <v>22</v>
      </c>
      <c r="R188">
        <v>18</v>
      </c>
      <c r="U188">
        <v>20</v>
      </c>
      <c r="V188">
        <v>22</v>
      </c>
      <c r="W188">
        <v>20</v>
      </c>
    </row>
    <row r="189" spans="1:23">
      <c r="A189">
        <v>188</v>
      </c>
      <c r="B189" s="1">
        <v>45342</v>
      </c>
      <c r="C189" s="1">
        <v>45434</v>
      </c>
      <c r="D189" s="29">
        <f>Tailordata[[#This Row],[DueDate]]-Tailordata[[#This Row],[Date]]</f>
        <v>92</v>
      </c>
      <c r="E189" t="s">
        <v>27</v>
      </c>
      <c r="F189" t="s">
        <v>23</v>
      </c>
      <c r="G189">
        <v>423</v>
      </c>
      <c r="H189" t="s">
        <v>28</v>
      </c>
      <c r="I189">
        <v>14</v>
      </c>
      <c r="J189">
        <v>37</v>
      </c>
      <c r="K189">
        <v>24</v>
      </c>
      <c r="L189">
        <v>19</v>
      </c>
      <c r="N189">
        <v>33</v>
      </c>
      <c r="O189">
        <v>19</v>
      </c>
      <c r="P189">
        <v>18</v>
      </c>
    </row>
    <row r="190" spans="1:23">
      <c r="A190">
        <v>189</v>
      </c>
      <c r="B190" s="1">
        <v>45355</v>
      </c>
      <c r="C190" s="1">
        <v>45412</v>
      </c>
      <c r="D190" s="29">
        <f>Tailordata[[#This Row],[DueDate]]-Tailordata[[#This Row],[Date]]</f>
        <v>57</v>
      </c>
      <c r="E190" t="s">
        <v>22</v>
      </c>
      <c r="F190" t="s">
        <v>32</v>
      </c>
      <c r="G190">
        <v>265</v>
      </c>
      <c r="H190" t="s">
        <v>28</v>
      </c>
      <c r="I190">
        <v>23</v>
      </c>
      <c r="J190">
        <v>44</v>
      </c>
      <c r="K190">
        <v>18</v>
      </c>
      <c r="L190">
        <v>20</v>
      </c>
      <c r="M190">
        <v>21</v>
      </c>
    </row>
    <row r="191" spans="1:23">
      <c r="A191">
        <v>190</v>
      </c>
      <c r="B191" s="1">
        <v>45353</v>
      </c>
      <c r="C191" s="1">
        <v>45417</v>
      </c>
      <c r="D191" s="29">
        <f>Tailordata[[#This Row],[DueDate]]-Tailordata[[#This Row],[Date]]</f>
        <v>64</v>
      </c>
      <c r="E191" t="s">
        <v>27</v>
      </c>
      <c r="F191" t="s">
        <v>36</v>
      </c>
      <c r="G191">
        <v>316</v>
      </c>
      <c r="H191" t="s">
        <v>24</v>
      </c>
      <c r="I191">
        <v>24</v>
      </c>
      <c r="J191">
        <v>25</v>
      </c>
      <c r="K191">
        <v>18</v>
      </c>
      <c r="L191">
        <v>23</v>
      </c>
      <c r="N191">
        <v>31</v>
      </c>
      <c r="O191">
        <v>20</v>
      </c>
      <c r="P191">
        <v>22</v>
      </c>
    </row>
    <row r="192" spans="1:23">
      <c r="A192">
        <v>191</v>
      </c>
      <c r="B192" s="1">
        <v>45387</v>
      </c>
      <c r="C192" s="1">
        <v>45440</v>
      </c>
      <c r="D192" s="29">
        <f>Tailordata[[#This Row],[DueDate]]-Tailordata[[#This Row],[Date]]</f>
        <v>53</v>
      </c>
      <c r="E192" t="s">
        <v>33</v>
      </c>
      <c r="F192" t="s">
        <v>36</v>
      </c>
      <c r="G192">
        <v>171</v>
      </c>
      <c r="H192" t="s">
        <v>28</v>
      </c>
      <c r="I192">
        <v>23</v>
      </c>
      <c r="J192">
        <v>35</v>
      </c>
      <c r="K192">
        <v>15</v>
      </c>
      <c r="L192">
        <v>19</v>
      </c>
      <c r="M192">
        <v>19</v>
      </c>
      <c r="N192">
        <v>22</v>
      </c>
      <c r="O192">
        <v>20</v>
      </c>
      <c r="Q192">
        <v>19</v>
      </c>
      <c r="R192">
        <v>21</v>
      </c>
    </row>
    <row r="193" spans="1:23">
      <c r="A193">
        <v>192</v>
      </c>
      <c r="B193" s="1">
        <v>45337</v>
      </c>
      <c r="C193" s="1">
        <v>45433</v>
      </c>
      <c r="D193" s="29">
        <f>Tailordata[[#This Row],[DueDate]]-Tailordata[[#This Row],[Date]]</f>
        <v>96</v>
      </c>
      <c r="E193" t="s">
        <v>35</v>
      </c>
      <c r="F193" t="s">
        <v>30</v>
      </c>
      <c r="G193">
        <v>216</v>
      </c>
      <c r="H193" t="s">
        <v>24</v>
      </c>
      <c r="O193">
        <v>21</v>
      </c>
      <c r="P193">
        <v>24</v>
      </c>
      <c r="Q193">
        <v>21</v>
      </c>
      <c r="R193">
        <v>18</v>
      </c>
      <c r="U193">
        <v>22</v>
      </c>
      <c r="V193">
        <v>18</v>
      </c>
      <c r="W193">
        <v>14</v>
      </c>
    </row>
    <row r="194" spans="1:23">
      <c r="A194">
        <v>193</v>
      </c>
      <c r="B194" s="1">
        <v>45384</v>
      </c>
      <c r="C194" s="1">
        <v>45429</v>
      </c>
      <c r="D194" s="29">
        <f>Tailordata[[#This Row],[DueDate]]-Tailordata[[#This Row],[Date]]</f>
        <v>45</v>
      </c>
      <c r="E194" t="s">
        <v>27</v>
      </c>
      <c r="F194" t="s">
        <v>25</v>
      </c>
      <c r="G194">
        <v>218</v>
      </c>
      <c r="H194" t="s">
        <v>34</v>
      </c>
      <c r="I194">
        <v>16</v>
      </c>
      <c r="J194">
        <v>45</v>
      </c>
      <c r="K194">
        <v>24</v>
      </c>
      <c r="L194">
        <v>21</v>
      </c>
      <c r="N194">
        <v>35</v>
      </c>
      <c r="O194">
        <v>14</v>
      </c>
      <c r="P194">
        <v>24</v>
      </c>
    </row>
    <row r="195" spans="1:23">
      <c r="A195">
        <v>194</v>
      </c>
      <c r="B195" s="1">
        <v>45292</v>
      </c>
      <c r="C195" s="1">
        <v>45423</v>
      </c>
      <c r="D195" s="29">
        <f>Tailordata[[#This Row],[DueDate]]-Tailordata[[#This Row],[Date]]</f>
        <v>131</v>
      </c>
      <c r="E195" t="s">
        <v>33</v>
      </c>
      <c r="F195" t="s">
        <v>36</v>
      </c>
      <c r="G195">
        <v>346</v>
      </c>
      <c r="H195" t="s">
        <v>24</v>
      </c>
      <c r="I195">
        <v>24</v>
      </c>
      <c r="J195">
        <v>22</v>
      </c>
      <c r="K195">
        <v>19</v>
      </c>
      <c r="L195">
        <v>22</v>
      </c>
      <c r="M195">
        <v>14</v>
      </c>
      <c r="N195">
        <v>42</v>
      </c>
      <c r="O195">
        <v>17</v>
      </c>
      <c r="Q195">
        <v>24</v>
      </c>
      <c r="R195">
        <v>21</v>
      </c>
    </row>
    <row r="196" spans="1:23">
      <c r="A196">
        <v>195</v>
      </c>
      <c r="B196" s="1">
        <v>45313</v>
      </c>
      <c r="C196" s="1">
        <v>45430</v>
      </c>
      <c r="D196" s="29">
        <f>Tailordata[[#This Row],[DueDate]]-Tailordata[[#This Row],[Date]]</f>
        <v>117</v>
      </c>
      <c r="E196" t="s">
        <v>35</v>
      </c>
      <c r="F196" t="s">
        <v>23</v>
      </c>
      <c r="G196">
        <v>347</v>
      </c>
      <c r="H196" t="s">
        <v>31</v>
      </c>
      <c r="O196">
        <v>16</v>
      </c>
      <c r="P196">
        <v>20</v>
      </c>
      <c r="Q196">
        <v>16</v>
      </c>
      <c r="R196">
        <v>17</v>
      </c>
      <c r="U196">
        <v>17</v>
      </c>
      <c r="V196">
        <v>15</v>
      </c>
      <c r="W196">
        <v>22</v>
      </c>
    </row>
    <row r="197" spans="1:23">
      <c r="A197">
        <v>196</v>
      </c>
      <c r="B197" s="1">
        <v>45389</v>
      </c>
      <c r="C197" s="1">
        <v>45411</v>
      </c>
      <c r="D197" s="29">
        <f>Tailordata[[#This Row],[DueDate]]-Tailordata[[#This Row],[Date]]</f>
        <v>22</v>
      </c>
      <c r="E197" t="s">
        <v>27</v>
      </c>
      <c r="F197" t="s">
        <v>23</v>
      </c>
      <c r="G197">
        <v>362</v>
      </c>
      <c r="H197" t="s">
        <v>34</v>
      </c>
      <c r="I197">
        <v>18</v>
      </c>
      <c r="J197">
        <v>27</v>
      </c>
      <c r="K197">
        <v>17</v>
      </c>
      <c r="L197">
        <v>16</v>
      </c>
      <c r="N197">
        <v>34</v>
      </c>
      <c r="O197">
        <v>14</v>
      </c>
      <c r="P197">
        <v>22</v>
      </c>
    </row>
    <row r="198" spans="1:23">
      <c r="A198">
        <v>197</v>
      </c>
      <c r="B198" s="1">
        <v>45344</v>
      </c>
      <c r="C198" s="1">
        <v>45424</v>
      </c>
      <c r="D198" s="29">
        <f>Tailordata[[#This Row],[DueDate]]-Tailordata[[#This Row],[Date]]</f>
        <v>80</v>
      </c>
      <c r="E198" t="s">
        <v>29</v>
      </c>
      <c r="F198" t="s">
        <v>30</v>
      </c>
      <c r="G198">
        <v>383</v>
      </c>
      <c r="H198" t="s">
        <v>26</v>
      </c>
      <c r="O198">
        <v>21</v>
      </c>
      <c r="Q198">
        <v>24</v>
      </c>
      <c r="R198">
        <v>19</v>
      </c>
      <c r="S198">
        <v>19</v>
      </c>
      <c r="T198">
        <v>16</v>
      </c>
      <c r="U198">
        <v>20</v>
      </c>
    </row>
    <row r="199" spans="1:23">
      <c r="A199">
        <v>198</v>
      </c>
      <c r="B199" s="1">
        <v>45391</v>
      </c>
      <c r="C199" s="1">
        <v>45423</v>
      </c>
      <c r="D199" s="29">
        <f>Tailordata[[#This Row],[DueDate]]-Tailordata[[#This Row],[Date]]</f>
        <v>32</v>
      </c>
      <c r="E199" t="s">
        <v>27</v>
      </c>
      <c r="F199" t="s">
        <v>30</v>
      </c>
      <c r="G199">
        <v>421</v>
      </c>
      <c r="H199" t="s">
        <v>24</v>
      </c>
      <c r="I199">
        <v>20</v>
      </c>
      <c r="J199">
        <v>42</v>
      </c>
      <c r="K199">
        <v>15</v>
      </c>
      <c r="L199">
        <v>15</v>
      </c>
      <c r="N199">
        <v>34</v>
      </c>
      <c r="O199">
        <v>22</v>
      </c>
      <c r="P199">
        <v>19</v>
      </c>
    </row>
    <row r="200" spans="1:23">
      <c r="A200">
        <v>199</v>
      </c>
      <c r="B200" s="1">
        <v>45389</v>
      </c>
      <c r="C200" s="1">
        <v>45430</v>
      </c>
      <c r="D200" s="29">
        <f>Tailordata[[#This Row],[DueDate]]-Tailordata[[#This Row],[Date]]</f>
        <v>41</v>
      </c>
      <c r="E200" t="s">
        <v>27</v>
      </c>
      <c r="F200" t="s">
        <v>36</v>
      </c>
      <c r="G200">
        <v>205</v>
      </c>
      <c r="H200" t="s">
        <v>24</v>
      </c>
      <c r="I200">
        <v>15</v>
      </c>
      <c r="J200">
        <v>41</v>
      </c>
      <c r="K200">
        <v>20</v>
      </c>
      <c r="L200">
        <v>18</v>
      </c>
      <c r="N200">
        <v>22</v>
      </c>
      <c r="O200">
        <v>17</v>
      </c>
      <c r="P200">
        <v>22</v>
      </c>
    </row>
    <row r="201" spans="1:23">
      <c r="A201">
        <v>200</v>
      </c>
      <c r="B201" s="1">
        <v>45309</v>
      </c>
      <c r="C201" s="1">
        <v>45414</v>
      </c>
      <c r="D201" s="29">
        <f>Tailordata[[#This Row],[DueDate]]-Tailordata[[#This Row],[Date]]</f>
        <v>105</v>
      </c>
      <c r="E201" t="s">
        <v>29</v>
      </c>
      <c r="F201" t="s">
        <v>32</v>
      </c>
      <c r="G201">
        <v>238</v>
      </c>
      <c r="H201" t="s">
        <v>31</v>
      </c>
      <c r="O201">
        <v>19</v>
      </c>
      <c r="Q201">
        <v>22</v>
      </c>
      <c r="R201">
        <v>21</v>
      </c>
      <c r="S201">
        <v>24</v>
      </c>
      <c r="T201">
        <v>18</v>
      </c>
      <c r="U201">
        <v>16</v>
      </c>
    </row>
    <row r="202" spans="1:23">
      <c r="A202">
        <v>201</v>
      </c>
      <c r="B202" s="1">
        <v>45407</v>
      </c>
      <c r="C202" s="1">
        <v>45434</v>
      </c>
      <c r="D202" s="29">
        <f>Tailordata[[#This Row],[DueDate]]-Tailordata[[#This Row],[Date]]</f>
        <v>27</v>
      </c>
      <c r="E202" t="s">
        <v>33</v>
      </c>
      <c r="F202" t="s">
        <v>25</v>
      </c>
      <c r="G202">
        <v>325</v>
      </c>
      <c r="H202" t="s">
        <v>31</v>
      </c>
      <c r="I202">
        <v>23</v>
      </c>
      <c r="J202">
        <v>22</v>
      </c>
      <c r="K202">
        <v>19</v>
      </c>
      <c r="L202">
        <v>18</v>
      </c>
      <c r="M202">
        <v>16</v>
      </c>
      <c r="N202">
        <v>23</v>
      </c>
      <c r="O202">
        <v>15</v>
      </c>
      <c r="Q202">
        <v>14</v>
      </c>
      <c r="R202">
        <v>16</v>
      </c>
    </row>
    <row r="203" spans="1:23">
      <c r="A203">
        <v>202</v>
      </c>
      <c r="B203" s="1">
        <v>45357</v>
      </c>
      <c r="C203" s="1">
        <v>45436</v>
      </c>
      <c r="D203" s="29">
        <f>Tailordata[[#This Row],[DueDate]]-Tailordata[[#This Row],[Date]]</f>
        <v>79</v>
      </c>
      <c r="E203" t="s">
        <v>35</v>
      </c>
      <c r="F203" t="s">
        <v>30</v>
      </c>
      <c r="G203">
        <v>118</v>
      </c>
      <c r="H203" t="s">
        <v>26</v>
      </c>
      <c r="O203">
        <v>19</v>
      </c>
      <c r="P203">
        <v>14</v>
      </c>
      <c r="Q203">
        <v>20</v>
      </c>
      <c r="R203">
        <v>17</v>
      </c>
      <c r="U203">
        <v>23</v>
      </c>
      <c r="V203">
        <v>16</v>
      </c>
      <c r="W203">
        <v>18</v>
      </c>
    </row>
    <row r="204" spans="1:23">
      <c r="A204">
        <v>203</v>
      </c>
      <c r="B204" s="1">
        <v>45324</v>
      </c>
      <c r="C204" s="1">
        <v>45418</v>
      </c>
      <c r="D204" s="29">
        <f>Tailordata[[#This Row],[DueDate]]-Tailordata[[#This Row],[Date]]</f>
        <v>94</v>
      </c>
      <c r="E204" t="s">
        <v>27</v>
      </c>
      <c r="F204" t="s">
        <v>25</v>
      </c>
      <c r="G204">
        <v>342</v>
      </c>
      <c r="H204" t="s">
        <v>31</v>
      </c>
      <c r="I204">
        <v>21</v>
      </c>
      <c r="J204">
        <v>24</v>
      </c>
      <c r="K204">
        <v>16</v>
      </c>
      <c r="L204">
        <v>16</v>
      </c>
      <c r="N204">
        <v>32</v>
      </c>
      <c r="O204">
        <v>21</v>
      </c>
      <c r="P204">
        <v>24</v>
      </c>
    </row>
    <row r="205" spans="1:23">
      <c r="A205">
        <v>204</v>
      </c>
      <c r="B205" s="1">
        <v>45322</v>
      </c>
      <c r="C205" s="1">
        <v>45425</v>
      </c>
      <c r="D205" s="29">
        <f>Tailordata[[#This Row],[DueDate]]-Tailordata[[#This Row],[Date]]</f>
        <v>103</v>
      </c>
      <c r="E205" t="s">
        <v>22</v>
      </c>
      <c r="F205" t="s">
        <v>25</v>
      </c>
      <c r="G205">
        <v>314</v>
      </c>
      <c r="H205" t="s">
        <v>31</v>
      </c>
      <c r="I205">
        <v>19</v>
      </c>
      <c r="J205">
        <v>25</v>
      </c>
      <c r="K205">
        <v>14</v>
      </c>
      <c r="L205">
        <v>17</v>
      </c>
      <c r="M205">
        <v>15</v>
      </c>
    </row>
    <row r="206" spans="1:23">
      <c r="A206">
        <v>205</v>
      </c>
      <c r="B206" s="1">
        <v>45383</v>
      </c>
      <c r="C206" s="1">
        <v>45440</v>
      </c>
      <c r="D206" s="29">
        <f>Tailordata[[#This Row],[DueDate]]-Tailordata[[#This Row],[Date]]</f>
        <v>57</v>
      </c>
      <c r="E206" t="s">
        <v>29</v>
      </c>
      <c r="F206" t="s">
        <v>25</v>
      </c>
      <c r="G206">
        <v>266</v>
      </c>
      <c r="H206" t="s">
        <v>24</v>
      </c>
      <c r="O206">
        <v>19</v>
      </c>
      <c r="Q206">
        <v>24</v>
      </c>
      <c r="R206">
        <v>16</v>
      </c>
      <c r="S206">
        <v>23</v>
      </c>
      <c r="T206">
        <v>23</v>
      </c>
      <c r="U206">
        <v>18</v>
      </c>
    </row>
    <row r="207" spans="1:23">
      <c r="A207">
        <v>206</v>
      </c>
      <c r="B207" s="1">
        <v>45307</v>
      </c>
      <c r="C207" s="1">
        <v>45419</v>
      </c>
      <c r="D207" s="29">
        <f>Tailordata[[#This Row],[DueDate]]-Tailordata[[#This Row],[Date]]</f>
        <v>112</v>
      </c>
      <c r="E207" t="s">
        <v>22</v>
      </c>
      <c r="F207" t="s">
        <v>30</v>
      </c>
      <c r="G207">
        <v>429</v>
      </c>
      <c r="H207" t="s">
        <v>26</v>
      </c>
      <c r="I207">
        <v>23</v>
      </c>
      <c r="J207">
        <v>32</v>
      </c>
      <c r="K207">
        <v>16</v>
      </c>
      <c r="L207">
        <v>18</v>
      </c>
      <c r="M207">
        <v>14</v>
      </c>
    </row>
    <row r="208" spans="1:23">
      <c r="A208">
        <v>207</v>
      </c>
      <c r="B208" s="1">
        <v>45405</v>
      </c>
      <c r="C208" s="1">
        <v>45412</v>
      </c>
      <c r="D208" s="29">
        <f>Tailordata[[#This Row],[DueDate]]-Tailordata[[#This Row],[Date]]</f>
        <v>7</v>
      </c>
      <c r="E208" t="s">
        <v>35</v>
      </c>
      <c r="F208" t="s">
        <v>30</v>
      </c>
      <c r="G208">
        <v>151</v>
      </c>
      <c r="H208" t="s">
        <v>31</v>
      </c>
      <c r="O208">
        <v>15</v>
      </c>
      <c r="P208">
        <v>24</v>
      </c>
      <c r="Q208">
        <v>23</v>
      </c>
      <c r="R208">
        <v>18</v>
      </c>
      <c r="U208">
        <v>19</v>
      </c>
      <c r="V208">
        <v>21</v>
      </c>
      <c r="W208">
        <v>24</v>
      </c>
    </row>
    <row r="209" spans="1:23">
      <c r="A209">
        <v>208</v>
      </c>
      <c r="B209" s="1">
        <v>45384</v>
      </c>
      <c r="C209" s="1">
        <v>45415</v>
      </c>
      <c r="D209" s="29">
        <f>Tailordata[[#This Row],[DueDate]]-Tailordata[[#This Row],[Date]]</f>
        <v>31</v>
      </c>
      <c r="E209" t="s">
        <v>35</v>
      </c>
      <c r="F209" t="s">
        <v>30</v>
      </c>
      <c r="G209">
        <v>439</v>
      </c>
      <c r="H209" t="s">
        <v>24</v>
      </c>
      <c r="O209">
        <v>18</v>
      </c>
      <c r="P209">
        <v>14</v>
      </c>
      <c r="Q209">
        <v>15</v>
      </c>
      <c r="R209">
        <v>18</v>
      </c>
      <c r="U209">
        <v>16</v>
      </c>
      <c r="V209">
        <v>19</v>
      </c>
      <c r="W209">
        <v>24</v>
      </c>
    </row>
    <row r="210" spans="1:23">
      <c r="A210">
        <v>209</v>
      </c>
      <c r="B210" s="1">
        <v>45302</v>
      </c>
      <c r="C210" s="1">
        <v>45436</v>
      </c>
      <c r="D210" s="29">
        <f>Tailordata[[#This Row],[DueDate]]-Tailordata[[#This Row],[Date]]</f>
        <v>134</v>
      </c>
      <c r="E210" t="s">
        <v>33</v>
      </c>
      <c r="F210" t="s">
        <v>32</v>
      </c>
      <c r="G210">
        <v>341</v>
      </c>
      <c r="H210" t="s">
        <v>24</v>
      </c>
      <c r="I210">
        <v>16</v>
      </c>
      <c r="J210">
        <v>27</v>
      </c>
      <c r="K210">
        <v>22</v>
      </c>
      <c r="L210">
        <v>15</v>
      </c>
      <c r="M210">
        <v>16</v>
      </c>
      <c r="N210">
        <v>27</v>
      </c>
      <c r="O210">
        <v>21</v>
      </c>
      <c r="Q210">
        <v>23</v>
      </c>
      <c r="R210">
        <v>16</v>
      </c>
    </row>
    <row r="211" spans="1:23">
      <c r="A211">
        <v>210</v>
      </c>
      <c r="B211" s="1">
        <v>45407</v>
      </c>
      <c r="C211" s="1">
        <v>45412</v>
      </c>
      <c r="D211" s="29">
        <f>Tailordata[[#This Row],[DueDate]]-Tailordata[[#This Row],[Date]]</f>
        <v>5</v>
      </c>
      <c r="E211" t="s">
        <v>35</v>
      </c>
      <c r="F211" t="s">
        <v>25</v>
      </c>
      <c r="G211">
        <v>80</v>
      </c>
      <c r="H211" t="s">
        <v>26</v>
      </c>
      <c r="O211">
        <v>23</v>
      </c>
      <c r="P211">
        <v>17</v>
      </c>
      <c r="Q211">
        <v>21</v>
      </c>
      <c r="R211">
        <v>21</v>
      </c>
      <c r="U211">
        <v>19</v>
      </c>
      <c r="V211">
        <v>23</v>
      </c>
      <c r="W211">
        <v>17</v>
      </c>
    </row>
    <row r="212" spans="1:23">
      <c r="A212">
        <v>211</v>
      </c>
      <c r="B212" s="1">
        <v>45372</v>
      </c>
      <c r="C212" s="1">
        <v>45417</v>
      </c>
      <c r="D212" s="29">
        <f>Tailordata[[#This Row],[DueDate]]-Tailordata[[#This Row],[Date]]</f>
        <v>45</v>
      </c>
      <c r="E212" t="s">
        <v>27</v>
      </c>
      <c r="F212" t="s">
        <v>25</v>
      </c>
      <c r="G212">
        <v>181</v>
      </c>
      <c r="H212" t="s">
        <v>31</v>
      </c>
      <c r="I212">
        <v>19</v>
      </c>
      <c r="J212">
        <v>42</v>
      </c>
      <c r="K212">
        <v>16</v>
      </c>
      <c r="L212">
        <v>20</v>
      </c>
      <c r="N212">
        <v>21</v>
      </c>
      <c r="O212">
        <v>21</v>
      </c>
      <c r="P212">
        <v>23</v>
      </c>
    </row>
    <row r="213" spans="1:23">
      <c r="A213">
        <v>212</v>
      </c>
      <c r="B213" s="1">
        <v>45303</v>
      </c>
      <c r="C213" s="1">
        <v>45420</v>
      </c>
      <c r="D213" s="29">
        <f>Tailordata[[#This Row],[DueDate]]-Tailordata[[#This Row],[Date]]</f>
        <v>117</v>
      </c>
      <c r="E213" t="s">
        <v>29</v>
      </c>
      <c r="F213" t="s">
        <v>36</v>
      </c>
      <c r="G213">
        <v>143</v>
      </c>
      <c r="H213" t="s">
        <v>28</v>
      </c>
      <c r="O213">
        <v>18</v>
      </c>
      <c r="Q213">
        <v>18</v>
      </c>
      <c r="R213">
        <v>17</v>
      </c>
      <c r="S213">
        <v>15</v>
      </c>
      <c r="T213">
        <v>17</v>
      </c>
      <c r="U213">
        <v>23</v>
      </c>
    </row>
    <row r="214" spans="1:23">
      <c r="A214">
        <v>213</v>
      </c>
      <c r="B214" s="1">
        <v>45358</v>
      </c>
      <c r="C214" s="1">
        <v>45431</v>
      </c>
      <c r="D214" s="29">
        <f>Tailordata[[#This Row],[DueDate]]-Tailordata[[#This Row],[Date]]</f>
        <v>73</v>
      </c>
      <c r="E214" t="s">
        <v>33</v>
      </c>
      <c r="F214" t="s">
        <v>23</v>
      </c>
      <c r="G214">
        <v>302</v>
      </c>
      <c r="H214" t="s">
        <v>31</v>
      </c>
      <c r="I214">
        <v>17</v>
      </c>
      <c r="J214">
        <v>27</v>
      </c>
      <c r="K214">
        <v>16</v>
      </c>
      <c r="L214">
        <v>18</v>
      </c>
      <c r="M214">
        <v>19</v>
      </c>
      <c r="N214">
        <v>43</v>
      </c>
      <c r="O214">
        <v>18</v>
      </c>
      <c r="Q214">
        <v>16</v>
      </c>
      <c r="R214">
        <v>21</v>
      </c>
    </row>
    <row r="215" spans="1:23">
      <c r="A215">
        <v>214</v>
      </c>
      <c r="B215" s="1">
        <v>45342</v>
      </c>
      <c r="C215" s="1">
        <v>45429</v>
      </c>
      <c r="D215" s="29">
        <f>Tailordata[[#This Row],[DueDate]]-Tailordata[[#This Row],[Date]]</f>
        <v>87</v>
      </c>
      <c r="E215" t="s">
        <v>29</v>
      </c>
      <c r="F215" t="s">
        <v>36</v>
      </c>
      <c r="G215">
        <v>84</v>
      </c>
      <c r="H215" t="s">
        <v>31</v>
      </c>
      <c r="O215">
        <v>18</v>
      </c>
      <c r="Q215">
        <v>22</v>
      </c>
      <c r="R215">
        <v>18</v>
      </c>
      <c r="S215">
        <v>22</v>
      </c>
      <c r="T215">
        <v>22</v>
      </c>
      <c r="U215">
        <v>16</v>
      </c>
    </row>
    <row r="216" spans="1:23">
      <c r="A216">
        <v>215</v>
      </c>
      <c r="B216" s="1">
        <v>45353</v>
      </c>
      <c r="C216" s="1">
        <v>45413</v>
      </c>
      <c r="D216" s="29">
        <f>Tailordata[[#This Row],[DueDate]]-Tailordata[[#This Row],[Date]]</f>
        <v>60</v>
      </c>
      <c r="E216" t="s">
        <v>33</v>
      </c>
      <c r="F216" t="s">
        <v>32</v>
      </c>
      <c r="G216">
        <v>383</v>
      </c>
      <c r="H216" t="s">
        <v>34</v>
      </c>
      <c r="I216">
        <v>21</v>
      </c>
      <c r="J216">
        <v>28</v>
      </c>
      <c r="K216">
        <v>20</v>
      </c>
      <c r="L216">
        <v>21</v>
      </c>
      <c r="M216">
        <v>22</v>
      </c>
      <c r="N216">
        <v>42</v>
      </c>
      <c r="O216">
        <v>20</v>
      </c>
      <c r="Q216">
        <v>23</v>
      </c>
      <c r="R216">
        <v>24</v>
      </c>
    </row>
    <row r="217" spans="1:23">
      <c r="A217">
        <v>216</v>
      </c>
      <c r="B217" s="1">
        <v>45317</v>
      </c>
      <c r="C217" s="1">
        <v>45428</v>
      </c>
      <c r="D217" s="29">
        <f>Tailordata[[#This Row],[DueDate]]-Tailordata[[#This Row],[Date]]</f>
        <v>111</v>
      </c>
      <c r="E217" t="s">
        <v>27</v>
      </c>
      <c r="F217" t="s">
        <v>32</v>
      </c>
      <c r="G217">
        <v>97</v>
      </c>
      <c r="H217" t="s">
        <v>24</v>
      </c>
      <c r="I217">
        <v>17</v>
      </c>
      <c r="J217">
        <v>36</v>
      </c>
      <c r="K217">
        <v>21</v>
      </c>
      <c r="L217">
        <v>14</v>
      </c>
      <c r="N217">
        <v>48</v>
      </c>
      <c r="O217">
        <v>24</v>
      </c>
      <c r="P217">
        <v>24</v>
      </c>
    </row>
    <row r="218" spans="1:23">
      <c r="A218">
        <v>217</v>
      </c>
      <c r="B218" s="1">
        <v>45343</v>
      </c>
      <c r="C218" s="1">
        <v>45436</v>
      </c>
      <c r="D218" s="29">
        <f>Tailordata[[#This Row],[DueDate]]-Tailordata[[#This Row],[Date]]</f>
        <v>93</v>
      </c>
      <c r="E218" t="s">
        <v>22</v>
      </c>
      <c r="F218" t="s">
        <v>32</v>
      </c>
      <c r="G218">
        <v>437</v>
      </c>
      <c r="H218" t="s">
        <v>34</v>
      </c>
      <c r="I218">
        <v>22</v>
      </c>
      <c r="J218">
        <v>26</v>
      </c>
      <c r="K218">
        <v>18</v>
      </c>
      <c r="L218">
        <v>20</v>
      </c>
      <c r="M218">
        <v>17</v>
      </c>
    </row>
    <row r="219" spans="1:23">
      <c r="A219">
        <v>218</v>
      </c>
      <c r="B219" s="1">
        <v>45344</v>
      </c>
      <c r="C219" s="1">
        <v>45429</v>
      </c>
      <c r="D219" s="29">
        <f>Tailordata[[#This Row],[DueDate]]-Tailordata[[#This Row],[Date]]</f>
        <v>85</v>
      </c>
      <c r="E219" t="s">
        <v>33</v>
      </c>
      <c r="F219" t="s">
        <v>30</v>
      </c>
      <c r="G219">
        <v>319</v>
      </c>
      <c r="H219" t="s">
        <v>24</v>
      </c>
      <c r="I219">
        <v>17</v>
      </c>
      <c r="J219">
        <v>24</v>
      </c>
      <c r="K219">
        <v>23</v>
      </c>
      <c r="L219">
        <v>20</v>
      </c>
      <c r="M219">
        <v>15</v>
      </c>
      <c r="N219">
        <v>24</v>
      </c>
      <c r="O219">
        <v>16</v>
      </c>
      <c r="Q219">
        <v>24</v>
      </c>
      <c r="R219">
        <v>20</v>
      </c>
    </row>
    <row r="220" spans="1:23">
      <c r="A220">
        <v>219</v>
      </c>
      <c r="B220" s="1">
        <v>45388</v>
      </c>
      <c r="C220" s="1">
        <v>45434</v>
      </c>
      <c r="D220" s="29">
        <f>Tailordata[[#This Row],[DueDate]]-Tailordata[[#This Row],[Date]]</f>
        <v>46</v>
      </c>
      <c r="E220" t="s">
        <v>29</v>
      </c>
      <c r="F220" t="s">
        <v>36</v>
      </c>
      <c r="G220">
        <v>68</v>
      </c>
      <c r="H220" t="s">
        <v>31</v>
      </c>
      <c r="O220">
        <v>22</v>
      </c>
      <c r="Q220">
        <v>18</v>
      </c>
      <c r="R220">
        <v>22</v>
      </c>
      <c r="S220">
        <v>21</v>
      </c>
      <c r="T220">
        <v>15</v>
      </c>
      <c r="U220">
        <v>15</v>
      </c>
    </row>
    <row r="221" spans="1:23">
      <c r="A221">
        <v>220</v>
      </c>
      <c r="B221" s="1">
        <v>45314</v>
      </c>
      <c r="C221" s="1">
        <v>45433</v>
      </c>
      <c r="D221" s="29">
        <f>Tailordata[[#This Row],[DueDate]]-Tailordata[[#This Row],[Date]]</f>
        <v>119</v>
      </c>
      <c r="E221" t="s">
        <v>29</v>
      </c>
      <c r="F221" t="s">
        <v>30</v>
      </c>
      <c r="G221">
        <v>190</v>
      </c>
      <c r="H221" t="s">
        <v>31</v>
      </c>
      <c r="O221">
        <v>22</v>
      </c>
      <c r="Q221">
        <v>22</v>
      </c>
      <c r="R221">
        <v>18</v>
      </c>
      <c r="S221">
        <v>22</v>
      </c>
      <c r="T221">
        <v>16</v>
      </c>
      <c r="U221">
        <v>15</v>
      </c>
    </row>
    <row r="222" spans="1:23">
      <c r="A222">
        <v>221</v>
      </c>
      <c r="B222" s="1">
        <v>45407</v>
      </c>
      <c r="C222" s="1">
        <v>45418</v>
      </c>
      <c r="D222" s="29">
        <f>Tailordata[[#This Row],[DueDate]]-Tailordata[[#This Row],[Date]]</f>
        <v>11</v>
      </c>
      <c r="E222" t="s">
        <v>27</v>
      </c>
      <c r="F222" t="s">
        <v>23</v>
      </c>
      <c r="G222">
        <v>282</v>
      </c>
      <c r="H222" t="s">
        <v>31</v>
      </c>
      <c r="I222">
        <v>20</v>
      </c>
      <c r="J222">
        <v>41</v>
      </c>
      <c r="K222">
        <v>19</v>
      </c>
      <c r="L222">
        <v>19</v>
      </c>
      <c r="N222">
        <v>35</v>
      </c>
      <c r="O222">
        <v>21</v>
      </c>
      <c r="P222">
        <v>18</v>
      </c>
    </row>
    <row r="223" spans="1:23">
      <c r="A223">
        <v>222</v>
      </c>
      <c r="B223" s="1">
        <v>45302</v>
      </c>
      <c r="C223" s="1">
        <v>45426</v>
      </c>
      <c r="D223" s="29">
        <f>Tailordata[[#This Row],[DueDate]]-Tailordata[[#This Row],[Date]]</f>
        <v>124</v>
      </c>
      <c r="E223" t="s">
        <v>35</v>
      </c>
      <c r="F223" t="s">
        <v>36</v>
      </c>
      <c r="G223">
        <v>422</v>
      </c>
      <c r="H223" t="s">
        <v>34</v>
      </c>
      <c r="O223">
        <v>19</v>
      </c>
      <c r="P223">
        <v>19</v>
      </c>
      <c r="Q223">
        <v>23</v>
      </c>
      <c r="R223">
        <v>24</v>
      </c>
      <c r="U223">
        <v>24</v>
      </c>
      <c r="V223">
        <v>21</v>
      </c>
      <c r="W223">
        <v>23</v>
      </c>
    </row>
    <row r="224" spans="1:23">
      <c r="A224">
        <v>223</v>
      </c>
      <c r="B224" s="1">
        <v>45383</v>
      </c>
      <c r="C224" s="1">
        <v>45412</v>
      </c>
      <c r="D224" s="29">
        <f>Tailordata[[#This Row],[DueDate]]-Tailordata[[#This Row],[Date]]</f>
        <v>29</v>
      </c>
      <c r="E224" t="s">
        <v>29</v>
      </c>
      <c r="F224" t="s">
        <v>36</v>
      </c>
      <c r="G224">
        <v>448</v>
      </c>
      <c r="H224" t="s">
        <v>34</v>
      </c>
      <c r="O224">
        <v>16</v>
      </c>
      <c r="Q224">
        <v>24</v>
      </c>
      <c r="R224">
        <v>15</v>
      </c>
      <c r="S224">
        <v>17</v>
      </c>
      <c r="T224">
        <v>14</v>
      </c>
      <c r="U224">
        <v>23</v>
      </c>
    </row>
    <row r="225" spans="1:23">
      <c r="A225">
        <v>224</v>
      </c>
      <c r="B225" s="1">
        <v>45318</v>
      </c>
      <c r="C225" s="1">
        <v>45429</v>
      </c>
      <c r="D225" s="29">
        <f>Tailordata[[#This Row],[DueDate]]-Tailordata[[#This Row],[Date]]</f>
        <v>111</v>
      </c>
      <c r="E225" t="s">
        <v>27</v>
      </c>
      <c r="F225" t="s">
        <v>23</v>
      </c>
      <c r="G225">
        <v>454</v>
      </c>
      <c r="H225" t="s">
        <v>24</v>
      </c>
      <c r="I225">
        <v>16</v>
      </c>
      <c r="J225">
        <v>34</v>
      </c>
      <c r="K225">
        <v>18</v>
      </c>
      <c r="L225">
        <v>16</v>
      </c>
      <c r="N225">
        <v>47</v>
      </c>
      <c r="O225">
        <v>17</v>
      </c>
      <c r="P225">
        <v>22</v>
      </c>
    </row>
    <row r="226" spans="1:23">
      <c r="A226">
        <v>225</v>
      </c>
      <c r="B226" s="1">
        <v>45388</v>
      </c>
      <c r="C226" s="1">
        <v>45421</v>
      </c>
      <c r="D226" s="29">
        <f>Tailordata[[#This Row],[DueDate]]-Tailordata[[#This Row],[Date]]</f>
        <v>33</v>
      </c>
      <c r="E226" t="s">
        <v>22</v>
      </c>
      <c r="F226" t="s">
        <v>23</v>
      </c>
      <c r="G226">
        <v>344</v>
      </c>
      <c r="H226" t="s">
        <v>26</v>
      </c>
      <c r="I226">
        <v>24</v>
      </c>
      <c r="J226">
        <v>47</v>
      </c>
      <c r="K226">
        <v>20</v>
      </c>
      <c r="L226">
        <v>19</v>
      </c>
      <c r="M226">
        <v>14</v>
      </c>
    </row>
    <row r="227" spans="1:23">
      <c r="A227">
        <v>226</v>
      </c>
      <c r="B227" s="1">
        <v>45338</v>
      </c>
      <c r="C227" s="1">
        <v>45438</v>
      </c>
      <c r="D227" s="29">
        <f>Tailordata[[#This Row],[DueDate]]-Tailordata[[#This Row],[Date]]</f>
        <v>100</v>
      </c>
      <c r="E227" t="s">
        <v>29</v>
      </c>
      <c r="F227" t="s">
        <v>32</v>
      </c>
      <c r="G227">
        <v>422</v>
      </c>
      <c r="H227" t="s">
        <v>24</v>
      </c>
      <c r="O227">
        <v>21</v>
      </c>
      <c r="Q227">
        <v>24</v>
      </c>
      <c r="R227">
        <v>19</v>
      </c>
      <c r="S227">
        <v>16</v>
      </c>
      <c r="T227">
        <v>16</v>
      </c>
      <c r="U227">
        <v>20</v>
      </c>
    </row>
    <row r="228" spans="1:23">
      <c r="A228">
        <v>227</v>
      </c>
      <c r="B228" s="1">
        <v>45339</v>
      </c>
      <c r="C228" s="1">
        <v>45438</v>
      </c>
      <c r="D228" s="29">
        <f>Tailordata[[#This Row],[DueDate]]-Tailordata[[#This Row],[Date]]</f>
        <v>99</v>
      </c>
      <c r="E228" t="s">
        <v>27</v>
      </c>
      <c r="F228" t="s">
        <v>36</v>
      </c>
      <c r="G228">
        <v>228</v>
      </c>
      <c r="H228" t="s">
        <v>34</v>
      </c>
      <c r="I228">
        <v>18</v>
      </c>
      <c r="J228">
        <v>42</v>
      </c>
      <c r="K228">
        <v>21</v>
      </c>
      <c r="L228">
        <v>20</v>
      </c>
      <c r="N228">
        <v>39</v>
      </c>
      <c r="O228">
        <v>16</v>
      </c>
      <c r="P228">
        <v>21</v>
      </c>
    </row>
    <row r="229" spans="1:23">
      <c r="A229">
        <v>228</v>
      </c>
      <c r="B229" s="1">
        <v>45357</v>
      </c>
      <c r="C229" s="1">
        <v>45427</v>
      </c>
      <c r="D229" s="29">
        <f>Tailordata[[#This Row],[DueDate]]-Tailordata[[#This Row],[Date]]</f>
        <v>70</v>
      </c>
      <c r="E229" t="s">
        <v>27</v>
      </c>
      <c r="F229" t="s">
        <v>32</v>
      </c>
      <c r="G229">
        <v>151</v>
      </c>
      <c r="H229" t="s">
        <v>26</v>
      </c>
      <c r="I229">
        <v>17</v>
      </c>
      <c r="J229">
        <v>42</v>
      </c>
      <c r="K229">
        <v>22</v>
      </c>
      <c r="L229">
        <v>21</v>
      </c>
      <c r="N229">
        <v>35</v>
      </c>
      <c r="O229">
        <v>17</v>
      </c>
      <c r="P229">
        <v>23</v>
      </c>
    </row>
    <row r="230" spans="1:23">
      <c r="A230">
        <v>229</v>
      </c>
      <c r="B230" s="1">
        <v>45355</v>
      </c>
      <c r="C230" s="1">
        <v>45432</v>
      </c>
      <c r="D230" s="29">
        <f>Tailordata[[#This Row],[DueDate]]-Tailordata[[#This Row],[Date]]</f>
        <v>77</v>
      </c>
      <c r="E230" t="s">
        <v>35</v>
      </c>
      <c r="F230" t="s">
        <v>23</v>
      </c>
      <c r="G230">
        <v>77</v>
      </c>
      <c r="H230" t="s">
        <v>31</v>
      </c>
      <c r="O230">
        <v>24</v>
      </c>
      <c r="P230">
        <v>24</v>
      </c>
      <c r="Q230">
        <v>17</v>
      </c>
      <c r="R230">
        <v>23</v>
      </c>
      <c r="U230">
        <v>24</v>
      </c>
      <c r="V230">
        <v>20</v>
      </c>
      <c r="W230">
        <v>15</v>
      </c>
    </row>
    <row r="231" spans="1:23">
      <c r="A231">
        <v>230</v>
      </c>
      <c r="B231" s="1">
        <v>45374</v>
      </c>
      <c r="C231" s="1">
        <v>45419</v>
      </c>
      <c r="D231" s="29">
        <f>Tailordata[[#This Row],[DueDate]]-Tailordata[[#This Row],[Date]]</f>
        <v>45</v>
      </c>
      <c r="E231" t="s">
        <v>27</v>
      </c>
      <c r="F231" t="s">
        <v>32</v>
      </c>
      <c r="G231">
        <v>296</v>
      </c>
      <c r="H231" t="s">
        <v>24</v>
      </c>
      <c r="I231">
        <v>23</v>
      </c>
      <c r="J231">
        <v>43</v>
      </c>
      <c r="K231">
        <v>16</v>
      </c>
      <c r="L231">
        <v>14</v>
      </c>
      <c r="N231">
        <v>44</v>
      </c>
      <c r="O231">
        <v>16</v>
      </c>
      <c r="P231">
        <v>22</v>
      </c>
    </row>
    <row r="232" spans="1:23">
      <c r="A232">
        <v>231</v>
      </c>
      <c r="B232" s="1">
        <v>45409</v>
      </c>
      <c r="C232" s="1">
        <v>45433</v>
      </c>
      <c r="D232" s="29">
        <f>Tailordata[[#This Row],[DueDate]]-Tailordata[[#This Row],[Date]]</f>
        <v>24</v>
      </c>
      <c r="E232" t="s">
        <v>27</v>
      </c>
      <c r="F232" t="s">
        <v>36</v>
      </c>
      <c r="G232">
        <v>381</v>
      </c>
      <c r="H232" t="s">
        <v>31</v>
      </c>
      <c r="I232">
        <v>22</v>
      </c>
      <c r="J232">
        <v>46</v>
      </c>
      <c r="K232">
        <v>17</v>
      </c>
      <c r="L232">
        <v>21</v>
      </c>
      <c r="N232">
        <v>21</v>
      </c>
      <c r="O232">
        <v>20</v>
      </c>
      <c r="P232">
        <v>24</v>
      </c>
    </row>
    <row r="233" spans="1:23">
      <c r="A233">
        <v>232</v>
      </c>
      <c r="B233" s="1">
        <v>45316</v>
      </c>
      <c r="C233" s="1">
        <v>45433</v>
      </c>
      <c r="D233" s="29">
        <f>Tailordata[[#This Row],[DueDate]]-Tailordata[[#This Row],[Date]]</f>
        <v>117</v>
      </c>
      <c r="E233" t="s">
        <v>33</v>
      </c>
      <c r="F233" t="s">
        <v>32</v>
      </c>
      <c r="G233">
        <v>54</v>
      </c>
      <c r="H233" t="s">
        <v>31</v>
      </c>
      <c r="I233">
        <v>23</v>
      </c>
      <c r="J233">
        <v>38</v>
      </c>
      <c r="K233">
        <v>18</v>
      </c>
      <c r="L233">
        <v>15</v>
      </c>
      <c r="M233">
        <v>14</v>
      </c>
      <c r="N233">
        <v>41</v>
      </c>
      <c r="O233">
        <v>17</v>
      </c>
      <c r="Q233">
        <v>20</v>
      </c>
      <c r="R233">
        <v>20</v>
      </c>
    </row>
    <row r="234" spans="1:23">
      <c r="A234">
        <v>233</v>
      </c>
      <c r="B234" s="1">
        <v>45336</v>
      </c>
      <c r="C234" s="1">
        <v>45430</v>
      </c>
      <c r="D234" s="29">
        <f>Tailordata[[#This Row],[DueDate]]-Tailordata[[#This Row],[Date]]</f>
        <v>94</v>
      </c>
      <c r="E234" t="s">
        <v>22</v>
      </c>
      <c r="F234" t="s">
        <v>36</v>
      </c>
      <c r="G234">
        <v>115</v>
      </c>
      <c r="H234" t="s">
        <v>28</v>
      </c>
      <c r="I234">
        <v>17</v>
      </c>
      <c r="J234">
        <v>48</v>
      </c>
      <c r="K234">
        <v>14</v>
      </c>
      <c r="L234">
        <v>19</v>
      </c>
      <c r="M234">
        <v>24</v>
      </c>
    </row>
    <row r="235" spans="1:23">
      <c r="A235">
        <v>234</v>
      </c>
      <c r="B235" s="1">
        <v>45380</v>
      </c>
      <c r="C235" s="1">
        <v>45435</v>
      </c>
      <c r="D235" s="29">
        <f>Tailordata[[#This Row],[DueDate]]-Tailordata[[#This Row],[Date]]</f>
        <v>55</v>
      </c>
      <c r="E235" t="s">
        <v>33</v>
      </c>
      <c r="F235" t="s">
        <v>32</v>
      </c>
      <c r="G235">
        <v>415</v>
      </c>
      <c r="H235" t="s">
        <v>34</v>
      </c>
      <c r="I235">
        <v>19</v>
      </c>
      <c r="J235">
        <v>35</v>
      </c>
      <c r="K235">
        <v>21</v>
      </c>
      <c r="L235">
        <v>19</v>
      </c>
      <c r="M235">
        <v>17</v>
      </c>
      <c r="N235">
        <v>35</v>
      </c>
      <c r="O235">
        <v>23</v>
      </c>
      <c r="Q235">
        <v>20</v>
      </c>
      <c r="R235">
        <v>21</v>
      </c>
    </row>
    <row r="236" spans="1:23">
      <c r="A236">
        <v>235</v>
      </c>
      <c r="B236" s="1">
        <v>45340</v>
      </c>
      <c r="C236" s="1">
        <v>45425</v>
      </c>
      <c r="D236" s="29">
        <f>Tailordata[[#This Row],[DueDate]]-Tailordata[[#This Row],[Date]]</f>
        <v>85</v>
      </c>
      <c r="E236" t="s">
        <v>27</v>
      </c>
      <c r="F236" t="s">
        <v>36</v>
      </c>
      <c r="G236">
        <v>82</v>
      </c>
      <c r="H236" t="s">
        <v>31</v>
      </c>
      <c r="I236">
        <v>14</v>
      </c>
      <c r="J236">
        <v>39</v>
      </c>
      <c r="K236">
        <v>17</v>
      </c>
      <c r="L236">
        <v>17</v>
      </c>
      <c r="N236">
        <v>44</v>
      </c>
      <c r="O236">
        <v>18</v>
      </c>
      <c r="P236">
        <v>21</v>
      </c>
    </row>
    <row r="237" spans="1:23">
      <c r="A237">
        <v>236</v>
      </c>
      <c r="B237" s="1">
        <v>45346</v>
      </c>
      <c r="C237" s="1">
        <v>45433</v>
      </c>
      <c r="D237" s="29">
        <f>Tailordata[[#This Row],[DueDate]]-Tailordata[[#This Row],[Date]]</f>
        <v>87</v>
      </c>
      <c r="E237" t="s">
        <v>27</v>
      </c>
      <c r="F237" t="s">
        <v>32</v>
      </c>
      <c r="G237">
        <v>298</v>
      </c>
      <c r="H237" t="s">
        <v>31</v>
      </c>
      <c r="I237">
        <v>16</v>
      </c>
      <c r="J237">
        <v>33</v>
      </c>
      <c r="K237">
        <v>15</v>
      </c>
      <c r="L237">
        <v>24</v>
      </c>
      <c r="N237">
        <v>31</v>
      </c>
      <c r="O237">
        <v>22</v>
      </c>
      <c r="P237">
        <v>15</v>
      </c>
    </row>
    <row r="238" spans="1:23">
      <c r="A238">
        <v>237</v>
      </c>
      <c r="B238" s="1">
        <v>45385</v>
      </c>
      <c r="C238" s="1">
        <v>45426</v>
      </c>
      <c r="D238" s="29">
        <f>Tailordata[[#This Row],[DueDate]]-Tailordata[[#This Row],[Date]]</f>
        <v>41</v>
      </c>
      <c r="E238" t="s">
        <v>33</v>
      </c>
      <c r="F238" t="s">
        <v>30</v>
      </c>
      <c r="G238">
        <v>494</v>
      </c>
      <c r="H238" t="s">
        <v>26</v>
      </c>
      <c r="I238">
        <v>18</v>
      </c>
      <c r="J238">
        <v>44</v>
      </c>
      <c r="K238">
        <v>17</v>
      </c>
      <c r="L238">
        <v>16</v>
      </c>
      <c r="M238">
        <v>22</v>
      </c>
      <c r="N238">
        <v>20</v>
      </c>
      <c r="O238">
        <v>16</v>
      </c>
      <c r="Q238">
        <v>22</v>
      </c>
      <c r="R238">
        <v>16</v>
      </c>
    </row>
    <row r="239" spans="1:23">
      <c r="A239">
        <v>238</v>
      </c>
      <c r="B239" s="1">
        <v>45377</v>
      </c>
      <c r="C239" s="1">
        <v>45432</v>
      </c>
      <c r="D239" s="29">
        <f>Tailordata[[#This Row],[DueDate]]-Tailordata[[#This Row],[Date]]</f>
        <v>55</v>
      </c>
      <c r="E239" t="s">
        <v>27</v>
      </c>
      <c r="F239" t="s">
        <v>36</v>
      </c>
      <c r="G239">
        <v>437</v>
      </c>
      <c r="H239" t="s">
        <v>28</v>
      </c>
      <c r="I239">
        <v>24</v>
      </c>
      <c r="J239">
        <v>29</v>
      </c>
      <c r="K239">
        <v>16</v>
      </c>
      <c r="L239">
        <v>14</v>
      </c>
      <c r="N239">
        <v>50</v>
      </c>
      <c r="O239">
        <v>18</v>
      </c>
      <c r="P239">
        <v>17</v>
      </c>
    </row>
    <row r="240" spans="1:23">
      <c r="A240">
        <v>239</v>
      </c>
      <c r="B240" s="1">
        <v>45375</v>
      </c>
      <c r="C240" s="1">
        <v>45422</v>
      </c>
      <c r="D240" s="29">
        <f>Tailordata[[#This Row],[DueDate]]-Tailordata[[#This Row],[Date]]</f>
        <v>47</v>
      </c>
      <c r="E240" t="s">
        <v>22</v>
      </c>
      <c r="F240" t="s">
        <v>32</v>
      </c>
      <c r="G240">
        <v>86</v>
      </c>
      <c r="H240" t="s">
        <v>34</v>
      </c>
      <c r="I240">
        <v>20</v>
      </c>
      <c r="J240">
        <v>38</v>
      </c>
      <c r="K240">
        <v>24</v>
      </c>
      <c r="L240">
        <v>21</v>
      </c>
      <c r="M240">
        <v>23</v>
      </c>
    </row>
    <row r="241" spans="1:23">
      <c r="A241">
        <v>240</v>
      </c>
      <c r="B241" s="1">
        <v>45382</v>
      </c>
      <c r="C241" s="1">
        <v>45414</v>
      </c>
      <c r="D241" s="29">
        <f>Tailordata[[#This Row],[DueDate]]-Tailordata[[#This Row],[Date]]</f>
        <v>32</v>
      </c>
      <c r="E241" t="s">
        <v>29</v>
      </c>
      <c r="F241" t="s">
        <v>25</v>
      </c>
      <c r="G241">
        <v>217</v>
      </c>
      <c r="H241" t="s">
        <v>34</v>
      </c>
      <c r="O241">
        <v>22</v>
      </c>
      <c r="Q241">
        <v>16</v>
      </c>
      <c r="R241">
        <v>19</v>
      </c>
      <c r="S241">
        <v>23</v>
      </c>
      <c r="T241">
        <v>23</v>
      </c>
      <c r="U241">
        <v>23</v>
      </c>
    </row>
    <row r="242" spans="1:23">
      <c r="A242">
        <v>241</v>
      </c>
      <c r="B242" s="1">
        <v>45389</v>
      </c>
      <c r="C242" s="1">
        <v>45431</v>
      </c>
      <c r="D242" s="29">
        <f>Tailordata[[#This Row],[DueDate]]-Tailordata[[#This Row],[Date]]</f>
        <v>42</v>
      </c>
      <c r="E242" t="s">
        <v>27</v>
      </c>
      <c r="F242" t="s">
        <v>25</v>
      </c>
      <c r="G242">
        <v>450</v>
      </c>
      <c r="H242" t="s">
        <v>24</v>
      </c>
      <c r="I242">
        <v>14</v>
      </c>
      <c r="J242">
        <v>32</v>
      </c>
      <c r="K242">
        <v>23</v>
      </c>
      <c r="L242">
        <v>14</v>
      </c>
      <c r="N242">
        <v>29</v>
      </c>
      <c r="O242">
        <v>21</v>
      </c>
      <c r="P242">
        <v>14</v>
      </c>
    </row>
    <row r="243" spans="1:23">
      <c r="A243">
        <v>242</v>
      </c>
      <c r="B243" s="1">
        <v>45389</v>
      </c>
      <c r="C243" s="1">
        <v>45414</v>
      </c>
      <c r="D243" s="29">
        <f>Tailordata[[#This Row],[DueDate]]-Tailordata[[#This Row],[Date]]</f>
        <v>25</v>
      </c>
      <c r="E243" t="s">
        <v>27</v>
      </c>
      <c r="F243" t="s">
        <v>32</v>
      </c>
      <c r="G243">
        <v>125</v>
      </c>
      <c r="H243" t="s">
        <v>31</v>
      </c>
      <c r="I243">
        <v>20</v>
      </c>
      <c r="J243">
        <v>39</v>
      </c>
      <c r="K243">
        <v>14</v>
      </c>
      <c r="L243">
        <v>23</v>
      </c>
      <c r="N243">
        <v>40</v>
      </c>
      <c r="O243">
        <v>23</v>
      </c>
      <c r="P243">
        <v>16</v>
      </c>
    </row>
    <row r="244" spans="1:23">
      <c r="A244">
        <v>243</v>
      </c>
      <c r="B244" s="1">
        <v>45324</v>
      </c>
      <c r="C244" s="1">
        <v>45432</v>
      </c>
      <c r="D244" s="29">
        <f>Tailordata[[#This Row],[DueDate]]-Tailordata[[#This Row],[Date]]</f>
        <v>108</v>
      </c>
      <c r="E244" t="s">
        <v>33</v>
      </c>
      <c r="F244" t="s">
        <v>25</v>
      </c>
      <c r="G244">
        <v>384</v>
      </c>
      <c r="H244" t="s">
        <v>24</v>
      </c>
      <c r="I244">
        <v>17</v>
      </c>
      <c r="J244">
        <v>50</v>
      </c>
      <c r="K244">
        <v>16</v>
      </c>
      <c r="L244">
        <v>19</v>
      </c>
      <c r="M244">
        <v>22</v>
      </c>
      <c r="N244">
        <v>39</v>
      </c>
      <c r="O244">
        <v>21</v>
      </c>
      <c r="Q244">
        <v>14</v>
      </c>
      <c r="R244">
        <v>14</v>
      </c>
    </row>
    <row r="245" spans="1:23">
      <c r="A245">
        <v>244</v>
      </c>
      <c r="B245" s="1">
        <v>45383</v>
      </c>
      <c r="C245" s="1">
        <v>45438</v>
      </c>
      <c r="D245" s="29">
        <f>Tailordata[[#This Row],[DueDate]]-Tailordata[[#This Row],[Date]]</f>
        <v>55</v>
      </c>
      <c r="E245" t="s">
        <v>29</v>
      </c>
      <c r="F245" t="s">
        <v>23</v>
      </c>
      <c r="G245">
        <v>245</v>
      </c>
      <c r="H245" t="s">
        <v>28</v>
      </c>
      <c r="O245">
        <v>15</v>
      </c>
      <c r="Q245">
        <v>14</v>
      </c>
      <c r="R245">
        <v>16</v>
      </c>
      <c r="S245">
        <v>24</v>
      </c>
      <c r="T245">
        <v>18</v>
      </c>
      <c r="U245">
        <v>15</v>
      </c>
    </row>
    <row r="246" spans="1:23">
      <c r="A246">
        <v>245</v>
      </c>
      <c r="B246" s="1">
        <v>45406</v>
      </c>
      <c r="C246" s="1">
        <v>45411</v>
      </c>
      <c r="D246" s="29">
        <f>Tailordata[[#This Row],[DueDate]]-Tailordata[[#This Row],[Date]]</f>
        <v>5</v>
      </c>
      <c r="E246" t="s">
        <v>33</v>
      </c>
      <c r="F246" t="s">
        <v>25</v>
      </c>
      <c r="G246">
        <v>264</v>
      </c>
      <c r="H246" t="s">
        <v>34</v>
      </c>
      <c r="I246">
        <v>17</v>
      </c>
      <c r="J246">
        <v>48</v>
      </c>
      <c r="K246">
        <v>22</v>
      </c>
      <c r="L246">
        <v>17</v>
      </c>
      <c r="M246">
        <v>14</v>
      </c>
      <c r="N246">
        <v>37</v>
      </c>
      <c r="O246">
        <v>16</v>
      </c>
      <c r="Q246">
        <v>24</v>
      </c>
      <c r="R246">
        <v>22</v>
      </c>
    </row>
    <row r="247" spans="1:23">
      <c r="A247">
        <v>246</v>
      </c>
      <c r="B247" s="1">
        <v>45295</v>
      </c>
      <c r="C247" s="1">
        <v>45429</v>
      </c>
      <c r="D247" s="29">
        <f>Tailordata[[#This Row],[DueDate]]-Tailordata[[#This Row],[Date]]</f>
        <v>134</v>
      </c>
      <c r="E247" t="s">
        <v>22</v>
      </c>
      <c r="F247" t="s">
        <v>32</v>
      </c>
      <c r="G247">
        <v>140</v>
      </c>
      <c r="H247" t="s">
        <v>24</v>
      </c>
      <c r="I247">
        <v>19</v>
      </c>
      <c r="J247">
        <v>50</v>
      </c>
      <c r="K247">
        <v>21</v>
      </c>
      <c r="L247">
        <v>17</v>
      </c>
      <c r="M247">
        <v>19</v>
      </c>
    </row>
    <row r="248" spans="1:23">
      <c r="A248">
        <v>247</v>
      </c>
      <c r="B248" s="1">
        <v>45401</v>
      </c>
      <c r="C248" s="1">
        <v>45429</v>
      </c>
      <c r="D248" s="29">
        <f>Tailordata[[#This Row],[DueDate]]-Tailordata[[#This Row],[Date]]</f>
        <v>28</v>
      </c>
      <c r="E248" t="s">
        <v>29</v>
      </c>
      <c r="F248" t="s">
        <v>30</v>
      </c>
      <c r="G248">
        <v>448</v>
      </c>
      <c r="H248" t="s">
        <v>34</v>
      </c>
      <c r="O248">
        <v>24</v>
      </c>
      <c r="Q248">
        <v>23</v>
      </c>
      <c r="R248">
        <v>23</v>
      </c>
      <c r="S248">
        <v>15</v>
      </c>
      <c r="T248">
        <v>22</v>
      </c>
      <c r="U248">
        <v>21</v>
      </c>
    </row>
    <row r="249" spans="1:23">
      <c r="A249">
        <v>248</v>
      </c>
      <c r="B249" s="1">
        <v>45395</v>
      </c>
      <c r="C249" s="1">
        <v>45437</v>
      </c>
      <c r="D249" s="29">
        <f>Tailordata[[#This Row],[DueDate]]-Tailordata[[#This Row],[Date]]</f>
        <v>42</v>
      </c>
      <c r="E249" t="s">
        <v>22</v>
      </c>
      <c r="F249" t="s">
        <v>36</v>
      </c>
      <c r="G249">
        <v>78</v>
      </c>
      <c r="H249" t="s">
        <v>34</v>
      </c>
      <c r="I249">
        <v>15</v>
      </c>
      <c r="J249">
        <v>36</v>
      </c>
      <c r="K249">
        <v>21</v>
      </c>
      <c r="L249">
        <v>22</v>
      </c>
      <c r="M249">
        <v>19</v>
      </c>
    </row>
    <row r="250" spans="1:23">
      <c r="A250">
        <v>249</v>
      </c>
      <c r="B250" s="1">
        <v>45409</v>
      </c>
      <c r="C250" s="1">
        <v>45439</v>
      </c>
      <c r="D250" s="29">
        <f>Tailordata[[#This Row],[DueDate]]-Tailordata[[#This Row],[Date]]</f>
        <v>30</v>
      </c>
      <c r="E250" t="s">
        <v>35</v>
      </c>
      <c r="F250" t="s">
        <v>25</v>
      </c>
      <c r="G250">
        <v>352</v>
      </c>
      <c r="H250" t="s">
        <v>28</v>
      </c>
      <c r="O250">
        <v>16</v>
      </c>
      <c r="P250">
        <v>17</v>
      </c>
      <c r="Q250">
        <v>16</v>
      </c>
      <c r="R250">
        <v>15</v>
      </c>
      <c r="U250">
        <v>20</v>
      </c>
      <c r="V250">
        <v>14</v>
      </c>
      <c r="W250">
        <v>23</v>
      </c>
    </row>
    <row r="251" spans="1:23">
      <c r="A251">
        <v>250</v>
      </c>
      <c r="B251" s="1">
        <v>45410</v>
      </c>
      <c r="C251" s="1">
        <v>45417</v>
      </c>
      <c r="D251" s="29">
        <f>Tailordata[[#This Row],[DueDate]]-Tailordata[[#This Row],[Date]]</f>
        <v>7</v>
      </c>
      <c r="E251" t="s">
        <v>22</v>
      </c>
      <c r="F251" t="s">
        <v>25</v>
      </c>
      <c r="G251">
        <v>394</v>
      </c>
      <c r="H251" t="s">
        <v>34</v>
      </c>
      <c r="I251">
        <v>19</v>
      </c>
      <c r="J251">
        <v>28</v>
      </c>
      <c r="K251">
        <v>24</v>
      </c>
      <c r="L251">
        <v>15</v>
      </c>
      <c r="M251">
        <v>19</v>
      </c>
    </row>
    <row r="252" spans="1:23">
      <c r="A252">
        <v>251</v>
      </c>
      <c r="B252" s="1">
        <v>45383</v>
      </c>
      <c r="C252" s="1">
        <v>45415</v>
      </c>
      <c r="D252" s="29">
        <f>Tailordata[[#This Row],[DueDate]]-Tailordata[[#This Row],[Date]]</f>
        <v>32</v>
      </c>
      <c r="E252" t="s">
        <v>35</v>
      </c>
      <c r="F252" t="s">
        <v>23</v>
      </c>
      <c r="G252">
        <v>240</v>
      </c>
      <c r="H252" t="s">
        <v>24</v>
      </c>
      <c r="O252">
        <v>16</v>
      </c>
      <c r="P252">
        <v>18</v>
      </c>
      <c r="Q252">
        <v>18</v>
      </c>
      <c r="R252">
        <v>24</v>
      </c>
      <c r="U252">
        <v>24</v>
      </c>
      <c r="V252">
        <v>24</v>
      </c>
      <c r="W252">
        <v>20</v>
      </c>
    </row>
    <row r="253" spans="1:23">
      <c r="A253">
        <v>252</v>
      </c>
      <c r="B253" s="1">
        <v>45361</v>
      </c>
      <c r="C253" s="1">
        <v>45419</v>
      </c>
      <c r="D253" s="29">
        <f>Tailordata[[#This Row],[DueDate]]-Tailordata[[#This Row],[Date]]</f>
        <v>58</v>
      </c>
      <c r="E253" t="s">
        <v>27</v>
      </c>
      <c r="F253" t="s">
        <v>32</v>
      </c>
      <c r="G253">
        <v>291</v>
      </c>
      <c r="H253" t="s">
        <v>24</v>
      </c>
      <c r="I253">
        <v>17</v>
      </c>
      <c r="J253">
        <v>39</v>
      </c>
      <c r="K253">
        <v>23</v>
      </c>
      <c r="L253">
        <v>16</v>
      </c>
      <c r="N253">
        <v>39</v>
      </c>
      <c r="O253">
        <v>19</v>
      </c>
      <c r="P253">
        <v>23</v>
      </c>
    </row>
    <row r="254" spans="1:23">
      <c r="A254">
        <v>253</v>
      </c>
      <c r="B254" s="1">
        <v>45310</v>
      </c>
      <c r="C254" s="1">
        <v>45417</v>
      </c>
      <c r="D254" s="29">
        <f>Tailordata[[#This Row],[DueDate]]-Tailordata[[#This Row],[Date]]</f>
        <v>107</v>
      </c>
      <c r="E254" t="s">
        <v>35</v>
      </c>
      <c r="F254" t="s">
        <v>30</v>
      </c>
      <c r="G254">
        <v>259</v>
      </c>
      <c r="H254" t="s">
        <v>28</v>
      </c>
      <c r="O254">
        <v>23</v>
      </c>
      <c r="P254">
        <v>14</v>
      </c>
      <c r="Q254">
        <v>19</v>
      </c>
      <c r="R254">
        <v>23</v>
      </c>
      <c r="U254">
        <v>16</v>
      </c>
      <c r="V254">
        <v>15</v>
      </c>
      <c r="W254">
        <v>18</v>
      </c>
    </row>
    <row r="255" spans="1:23">
      <c r="A255">
        <v>254</v>
      </c>
      <c r="B255" s="1">
        <v>45375</v>
      </c>
      <c r="C255" s="1">
        <v>45416</v>
      </c>
      <c r="D255" s="29">
        <f>Tailordata[[#This Row],[DueDate]]-Tailordata[[#This Row],[Date]]</f>
        <v>41</v>
      </c>
      <c r="E255" t="s">
        <v>29</v>
      </c>
      <c r="F255" t="s">
        <v>25</v>
      </c>
      <c r="G255">
        <v>276</v>
      </c>
      <c r="H255" t="s">
        <v>28</v>
      </c>
      <c r="O255">
        <v>18</v>
      </c>
      <c r="Q255">
        <v>24</v>
      </c>
      <c r="R255">
        <v>24</v>
      </c>
      <c r="S255">
        <v>17</v>
      </c>
      <c r="T255">
        <v>21</v>
      </c>
      <c r="U255">
        <v>17</v>
      </c>
    </row>
    <row r="256" spans="1:23">
      <c r="A256">
        <v>255</v>
      </c>
      <c r="B256" s="1">
        <v>45367</v>
      </c>
      <c r="C256" s="1">
        <v>45416</v>
      </c>
      <c r="D256" s="29">
        <f>Tailordata[[#This Row],[DueDate]]-Tailordata[[#This Row],[Date]]</f>
        <v>49</v>
      </c>
      <c r="E256" t="s">
        <v>22</v>
      </c>
      <c r="F256" t="s">
        <v>30</v>
      </c>
      <c r="G256">
        <v>236</v>
      </c>
      <c r="H256" t="s">
        <v>34</v>
      </c>
      <c r="I256">
        <v>20</v>
      </c>
      <c r="J256">
        <v>40</v>
      </c>
      <c r="K256">
        <v>16</v>
      </c>
      <c r="L256">
        <v>21</v>
      </c>
      <c r="M256">
        <v>17</v>
      </c>
    </row>
    <row r="257" spans="1:23">
      <c r="A257">
        <v>256</v>
      </c>
      <c r="B257" s="1">
        <v>45300</v>
      </c>
      <c r="C257" s="1">
        <v>45435</v>
      </c>
      <c r="D257" s="29">
        <f>Tailordata[[#This Row],[DueDate]]-Tailordata[[#This Row],[Date]]</f>
        <v>135</v>
      </c>
      <c r="E257" t="s">
        <v>35</v>
      </c>
      <c r="F257" t="s">
        <v>30</v>
      </c>
      <c r="G257">
        <v>126</v>
      </c>
      <c r="H257" t="s">
        <v>28</v>
      </c>
      <c r="O257">
        <v>24</v>
      </c>
      <c r="P257">
        <v>18</v>
      </c>
      <c r="Q257">
        <v>16</v>
      </c>
      <c r="R257">
        <v>21</v>
      </c>
      <c r="U257">
        <v>20</v>
      </c>
      <c r="V257">
        <v>23</v>
      </c>
      <c r="W257">
        <v>21</v>
      </c>
    </row>
    <row r="258" spans="1:23">
      <c r="A258">
        <v>257</v>
      </c>
      <c r="B258" s="1">
        <v>45359</v>
      </c>
      <c r="C258" s="1">
        <v>45418</v>
      </c>
      <c r="D258" s="29">
        <f>Tailordata[[#This Row],[DueDate]]-Tailordata[[#This Row],[Date]]</f>
        <v>59</v>
      </c>
      <c r="E258" t="s">
        <v>35</v>
      </c>
      <c r="F258" t="s">
        <v>25</v>
      </c>
      <c r="G258">
        <v>471</v>
      </c>
      <c r="H258" t="s">
        <v>31</v>
      </c>
      <c r="O258">
        <v>19</v>
      </c>
      <c r="P258">
        <v>24</v>
      </c>
      <c r="Q258">
        <v>21</v>
      </c>
      <c r="R258">
        <v>18</v>
      </c>
      <c r="U258">
        <v>16</v>
      </c>
      <c r="V258">
        <v>18</v>
      </c>
      <c r="W258">
        <v>17</v>
      </c>
    </row>
    <row r="259" spans="1:23">
      <c r="A259">
        <v>258</v>
      </c>
      <c r="B259" s="1">
        <v>45323</v>
      </c>
      <c r="C259" s="1">
        <v>45429</v>
      </c>
      <c r="D259" s="29">
        <f>Tailordata[[#This Row],[DueDate]]-Tailordata[[#This Row],[Date]]</f>
        <v>106</v>
      </c>
      <c r="E259" t="s">
        <v>22</v>
      </c>
      <c r="F259" t="s">
        <v>32</v>
      </c>
      <c r="G259">
        <v>110</v>
      </c>
      <c r="H259" t="s">
        <v>26</v>
      </c>
      <c r="I259">
        <v>15</v>
      </c>
      <c r="J259">
        <v>28</v>
      </c>
      <c r="K259">
        <v>15</v>
      </c>
      <c r="L259">
        <v>20</v>
      </c>
      <c r="M259">
        <v>18</v>
      </c>
    </row>
    <row r="260" spans="1:23">
      <c r="A260">
        <v>259</v>
      </c>
      <c r="B260" s="1">
        <v>45402</v>
      </c>
      <c r="C260" s="1">
        <v>45417</v>
      </c>
      <c r="D260" s="29">
        <f>Tailordata[[#This Row],[DueDate]]-Tailordata[[#This Row],[Date]]</f>
        <v>15</v>
      </c>
      <c r="E260" t="s">
        <v>27</v>
      </c>
      <c r="F260" t="s">
        <v>23</v>
      </c>
      <c r="G260">
        <v>289</v>
      </c>
      <c r="H260" t="s">
        <v>28</v>
      </c>
      <c r="I260">
        <v>15</v>
      </c>
      <c r="J260">
        <v>41</v>
      </c>
      <c r="K260">
        <v>17</v>
      </c>
      <c r="L260">
        <v>21</v>
      </c>
      <c r="N260">
        <v>45</v>
      </c>
      <c r="O260">
        <v>18</v>
      </c>
      <c r="P260">
        <v>16</v>
      </c>
    </row>
    <row r="261" spans="1:23">
      <c r="A261">
        <v>260</v>
      </c>
      <c r="B261" s="1">
        <v>45336</v>
      </c>
      <c r="C261" s="1">
        <v>45424</v>
      </c>
      <c r="D261" s="29">
        <f>Tailordata[[#This Row],[DueDate]]-Tailordata[[#This Row],[Date]]</f>
        <v>88</v>
      </c>
      <c r="E261" t="s">
        <v>27</v>
      </c>
      <c r="F261" t="s">
        <v>36</v>
      </c>
      <c r="G261">
        <v>168</v>
      </c>
      <c r="H261" t="s">
        <v>31</v>
      </c>
      <c r="I261">
        <v>20</v>
      </c>
      <c r="J261">
        <v>30</v>
      </c>
      <c r="K261">
        <v>21</v>
      </c>
      <c r="L261">
        <v>19</v>
      </c>
      <c r="N261">
        <v>36</v>
      </c>
      <c r="O261">
        <v>15</v>
      </c>
      <c r="P261">
        <v>22</v>
      </c>
    </row>
    <row r="262" spans="1:23">
      <c r="A262">
        <v>261</v>
      </c>
      <c r="B262" s="1">
        <v>45404</v>
      </c>
      <c r="C262" s="1">
        <v>45415</v>
      </c>
      <c r="D262" s="29">
        <f>Tailordata[[#This Row],[DueDate]]-Tailordata[[#This Row],[Date]]</f>
        <v>11</v>
      </c>
      <c r="E262" t="s">
        <v>33</v>
      </c>
      <c r="F262" t="s">
        <v>30</v>
      </c>
      <c r="G262">
        <v>104</v>
      </c>
      <c r="H262" t="s">
        <v>26</v>
      </c>
      <c r="I262">
        <v>23</v>
      </c>
      <c r="J262">
        <v>25</v>
      </c>
      <c r="K262">
        <v>23</v>
      </c>
      <c r="L262">
        <v>21</v>
      </c>
      <c r="M262">
        <v>19</v>
      </c>
      <c r="N262">
        <v>30</v>
      </c>
      <c r="O262">
        <v>21</v>
      </c>
      <c r="Q262">
        <v>24</v>
      </c>
      <c r="R262">
        <v>23</v>
      </c>
    </row>
    <row r="263" spans="1:23">
      <c r="A263">
        <v>262</v>
      </c>
      <c r="B263" s="1">
        <v>45352</v>
      </c>
      <c r="C263" s="1">
        <v>45440</v>
      </c>
      <c r="D263" s="29">
        <f>Tailordata[[#This Row],[DueDate]]-Tailordata[[#This Row],[Date]]</f>
        <v>88</v>
      </c>
      <c r="E263" t="s">
        <v>29</v>
      </c>
      <c r="F263" t="s">
        <v>30</v>
      </c>
      <c r="G263">
        <v>279</v>
      </c>
      <c r="H263" t="s">
        <v>34</v>
      </c>
      <c r="O263">
        <v>16</v>
      </c>
      <c r="Q263">
        <v>24</v>
      </c>
      <c r="R263">
        <v>14</v>
      </c>
      <c r="S263">
        <v>23</v>
      </c>
      <c r="T263">
        <v>16</v>
      </c>
      <c r="U263">
        <v>22</v>
      </c>
    </row>
    <row r="264" spans="1:23">
      <c r="A264">
        <v>263</v>
      </c>
      <c r="B264" s="1">
        <v>45315</v>
      </c>
      <c r="C264" s="1">
        <v>45436</v>
      </c>
      <c r="D264" s="29">
        <f>Tailordata[[#This Row],[DueDate]]-Tailordata[[#This Row],[Date]]</f>
        <v>121</v>
      </c>
      <c r="E264" t="s">
        <v>35</v>
      </c>
      <c r="F264" t="s">
        <v>23</v>
      </c>
      <c r="G264">
        <v>66</v>
      </c>
      <c r="H264" t="s">
        <v>28</v>
      </c>
      <c r="O264">
        <v>14</v>
      </c>
      <c r="P264">
        <v>21</v>
      </c>
      <c r="Q264">
        <v>17</v>
      </c>
      <c r="R264">
        <v>17</v>
      </c>
      <c r="U264">
        <v>22</v>
      </c>
      <c r="V264">
        <v>17</v>
      </c>
      <c r="W264">
        <v>23</v>
      </c>
    </row>
    <row r="265" spans="1:23">
      <c r="A265">
        <v>264</v>
      </c>
      <c r="B265" s="1">
        <v>45390</v>
      </c>
      <c r="C265" s="1">
        <v>45418</v>
      </c>
      <c r="D265" s="29">
        <f>Tailordata[[#This Row],[DueDate]]-Tailordata[[#This Row],[Date]]</f>
        <v>28</v>
      </c>
      <c r="E265" t="s">
        <v>35</v>
      </c>
      <c r="F265" t="s">
        <v>36</v>
      </c>
      <c r="G265">
        <v>196</v>
      </c>
      <c r="H265" t="s">
        <v>26</v>
      </c>
      <c r="O265">
        <v>22</v>
      </c>
      <c r="P265">
        <v>24</v>
      </c>
      <c r="Q265">
        <v>22</v>
      </c>
      <c r="R265">
        <v>24</v>
      </c>
      <c r="U265">
        <v>23</v>
      </c>
      <c r="V265">
        <v>14</v>
      </c>
      <c r="W265">
        <v>18</v>
      </c>
    </row>
    <row r="266" spans="1:23">
      <c r="A266">
        <v>265</v>
      </c>
      <c r="B266" s="1">
        <v>45342</v>
      </c>
      <c r="C266" s="1">
        <v>45438</v>
      </c>
      <c r="D266" s="29">
        <f>Tailordata[[#This Row],[DueDate]]-Tailordata[[#This Row],[Date]]</f>
        <v>96</v>
      </c>
      <c r="E266" t="s">
        <v>33</v>
      </c>
      <c r="F266" t="s">
        <v>23</v>
      </c>
      <c r="G266">
        <v>271</v>
      </c>
      <c r="H266" t="s">
        <v>31</v>
      </c>
      <c r="I266">
        <v>21</v>
      </c>
      <c r="J266">
        <v>48</v>
      </c>
      <c r="K266">
        <v>17</v>
      </c>
      <c r="L266">
        <v>15</v>
      </c>
      <c r="M266">
        <v>22</v>
      </c>
      <c r="N266">
        <v>47</v>
      </c>
      <c r="O266">
        <v>22</v>
      </c>
      <c r="Q266">
        <v>22</v>
      </c>
      <c r="R266">
        <v>14</v>
      </c>
    </row>
    <row r="267" spans="1:23">
      <c r="A267">
        <v>266</v>
      </c>
      <c r="B267" s="1">
        <v>45388</v>
      </c>
      <c r="C267" s="1">
        <v>45433</v>
      </c>
      <c r="D267" s="29">
        <f>Tailordata[[#This Row],[DueDate]]-Tailordata[[#This Row],[Date]]</f>
        <v>45</v>
      </c>
      <c r="E267" t="s">
        <v>22</v>
      </c>
      <c r="F267" t="s">
        <v>36</v>
      </c>
      <c r="G267">
        <v>483</v>
      </c>
      <c r="H267" t="s">
        <v>34</v>
      </c>
      <c r="I267">
        <v>20</v>
      </c>
      <c r="J267">
        <v>41</v>
      </c>
      <c r="K267">
        <v>22</v>
      </c>
      <c r="L267">
        <v>21</v>
      </c>
      <c r="M267">
        <v>23</v>
      </c>
    </row>
    <row r="268" spans="1:23">
      <c r="A268">
        <v>267</v>
      </c>
      <c r="B268" s="1">
        <v>45316</v>
      </c>
      <c r="C268" s="1">
        <v>45418</v>
      </c>
      <c r="D268" s="29">
        <f>Tailordata[[#This Row],[DueDate]]-Tailordata[[#This Row],[Date]]</f>
        <v>102</v>
      </c>
      <c r="E268" t="s">
        <v>27</v>
      </c>
      <c r="F268" t="s">
        <v>25</v>
      </c>
      <c r="G268">
        <v>150</v>
      </c>
      <c r="H268" t="s">
        <v>28</v>
      </c>
      <c r="I268">
        <v>14</v>
      </c>
      <c r="J268">
        <v>44</v>
      </c>
      <c r="K268">
        <v>17</v>
      </c>
      <c r="L268">
        <v>14</v>
      </c>
      <c r="N268">
        <v>24</v>
      </c>
      <c r="O268">
        <v>23</v>
      </c>
      <c r="P268">
        <v>21</v>
      </c>
    </row>
    <row r="269" spans="1:23">
      <c r="A269">
        <v>268</v>
      </c>
      <c r="B269" s="1">
        <v>45403</v>
      </c>
      <c r="C269" s="1">
        <v>45429</v>
      </c>
      <c r="D269" s="29">
        <f>Tailordata[[#This Row],[DueDate]]-Tailordata[[#This Row],[Date]]</f>
        <v>26</v>
      </c>
      <c r="E269" t="s">
        <v>22</v>
      </c>
      <c r="F269" t="s">
        <v>23</v>
      </c>
      <c r="G269">
        <v>247</v>
      </c>
      <c r="H269" t="s">
        <v>34</v>
      </c>
      <c r="I269">
        <v>24</v>
      </c>
      <c r="J269">
        <v>38</v>
      </c>
      <c r="K269">
        <v>20</v>
      </c>
      <c r="L269">
        <v>16</v>
      </c>
      <c r="M269">
        <v>23</v>
      </c>
    </row>
    <row r="270" spans="1:23">
      <c r="A270">
        <v>269</v>
      </c>
      <c r="B270" s="1">
        <v>45379</v>
      </c>
      <c r="C270" s="1">
        <v>45418</v>
      </c>
      <c r="D270" s="29">
        <f>Tailordata[[#This Row],[DueDate]]-Tailordata[[#This Row],[Date]]</f>
        <v>39</v>
      </c>
      <c r="E270" t="s">
        <v>33</v>
      </c>
      <c r="F270" t="s">
        <v>32</v>
      </c>
      <c r="G270">
        <v>368</v>
      </c>
      <c r="H270" t="s">
        <v>34</v>
      </c>
      <c r="I270">
        <v>19</v>
      </c>
      <c r="J270">
        <v>46</v>
      </c>
      <c r="K270">
        <v>23</v>
      </c>
      <c r="L270">
        <v>17</v>
      </c>
      <c r="M270">
        <v>15</v>
      </c>
      <c r="N270">
        <v>48</v>
      </c>
      <c r="O270">
        <v>14</v>
      </c>
      <c r="Q270">
        <v>18</v>
      </c>
      <c r="R270">
        <v>15</v>
      </c>
    </row>
    <row r="271" spans="1:23">
      <c r="A271">
        <v>270</v>
      </c>
      <c r="B271" s="1">
        <v>45361</v>
      </c>
      <c r="C271" s="1">
        <v>45427</v>
      </c>
      <c r="D271" s="29">
        <f>Tailordata[[#This Row],[DueDate]]-Tailordata[[#This Row],[Date]]</f>
        <v>66</v>
      </c>
      <c r="E271" t="s">
        <v>35</v>
      </c>
      <c r="F271" t="s">
        <v>36</v>
      </c>
      <c r="G271">
        <v>335</v>
      </c>
      <c r="H271" t="s">
        <v>34</v>
      </c>
      <c r="O271">
        <v>20</v>
      </c>
      <c r="P271">
        <v>18</v>
      </c>
      <c r="Q271">
        <v>24</v>
      </c>
      <c r="R271">
        <v>19</v>
      </c>
      <c r="U271">
        <v>14</v>
      </c>
      <c r="V271">
        <v>20</v>
      </c>
      <c r="W271">
        <v>21</v>
      </c>
    </row>
    <row r="272" spans="1:23">
      <c r="A272">
        <v>271</v>
      </c>
      <c r="B272" s="1">
        <v>45378</v>
      </c>
      <c r="C272" s="1">
        <v>45416</v>
      </c>
      <c r="D272" s="29">
        <f>Tailordata[[#This Row],[DueDate]]-Tailordata[[#This Row],[Date]]</f>
        <v>38</v>
      </c>
      <c r="E272" t="s">
        <v>33</v>
      </c>
      <c r="F272" t="s">
        <v>32</v>
      </c>
      <c r="G272">
        <v>264</v>
      </c>
      <c r="H272" t="s">
        <v>24</v>
      </c>
      <c r="I272">
        <v>14</v>
      </c>
      <c r="J272">
        <v>42</v>
      </c>
      <c r="K272">
        <v>24</v>
      </c>
      <c r="L272">
        <v>16</v>
      </c>
      <c r="M272">
        <v>23</v>
      </c>
      <c r="N272">
        <v>48</v>
      </c>
      <c r="O272">
        <v>15</v>
      </c>
      <c r="Q272">
        <v>16</v>
      </c>
      <c r="R272">
        <v>24</v>
      </c>
    </row>
    <row r="273" spans="1:23">
      <c r="A273">
        <v>272</v>
      </c>
      <c r="B273" s="1">
        <v>45366</v>
      </c>
      <c r="C273" s="1">
        <v>45440</v>
      </c>
      <c r="D273" s="29">
        <f>Tailordata[[#This Row],[DueDate]]-Tailordata[[#This Row],[Date]]</f>
        <v>74</v>
      </c>
      <c r="E273" t="s">
        <v>33</v>
      </c>
      <c r="F273" t="s">
        <v>25</v>
      </c>
      <c r="G273">
        <v>246</v>
      </c>
      <c r="H273" t="s">
        <v>28</v>
      </c>
      <c r="I273">
        <v>16</v>
      </c>
      <c r="J273">
        <v>48</v>
      </c>
      <c r="K273">
        <v>17</v>
      </c>
      <c r="L273">
        <v>24</v>
      </c>
      <c r="M273">
        <v>16</v>
      </c>
      <c r="N273">
        <v>35</v>
      </c>
      <c r="O273">
        <v>14</v>
      </c>
      <c r="Q273">
        <v>22</v>
      </c>
      <c r="R273">
        <v>15</v>
      </c>
    </row>
    <row r="274" spans="1:23">
      <c r="A274">
        <v>273</v>
      </c>
      <c r="B274" s="1">
        <v>45389</v>
      </c>
      <c r="C274" s="1">
        <v>45415</v>
      </c>
      <c r="D274" s="29">
        <f>Tailordata[[#This Row],[DueDate]]-Tailordata[[#This Row],[Date]]</f>
        <v>26</v>
      </c>
      <c r="E274" t="s">
        <v>35</v>
      </c>
      <c r="F274" t="s">
        <v>25</v>
      </c>
      <c r="G274">
        <v>437</v>
      </c>
      <c r="H274" t="s">
        <v>26</v>
      </c>
      <c r="O274">
        <v>20</v>
      </c>
      <c r="P274">
        <v>23</v>
      </c>
      <c r="Q274">
        <v>18</v>
      </c>
      <c r="R274">
        <v>18</v>
      </c>
      <c r="U274">
        <v>22</v>
      </c>
      <c r="V274">
        <v>24</v>
      </c>
      <c r="W274">
        <v>15</v>
      </c>
    </row>
    <row r="275" spans="1:23">
      <c r="A275">
        <v>274</v>
      </c>
      <c r="B275" s="1">
        <v>45319</v>
      </c>
      <c r="C275" s="1">
        <v>45420</v>
      </c>
      <c r="D275" s="29">
        <f>Tailordata[[#This Row],[DueDate]]-Tailordata[[#This Row],[Date]]</f>
        <v>101</v>
      </c>
      <c r="E275" t="s">
        <v>33</v>
      </c>
      <c r="F275" t="s">
        <v>23</v>
      </c>
      <c r="G275">
        <v>141</v>
      </c>
      <c r="H275" t="s">
        <v>31</v>
      </c>
      <c r="I275">
        <v>18</v>
      </c>
      <c r="J275">
        <v>47</v>
      </c>
      <c r="K275">
        <v>24</v>
      </c>
      <c r="L275">
        <v>17</v>
      </c>
      <c r="M275">
        <v>19</v>
      </c>
      <c r="N275">
        <v>50</v>
      </c>
      <c r="O275">
        <v>17</v>
      </c>
      <c r="Q275">
        <v>21</v>
      </c>
      <c r="R275">
        <v>15</v>
      </c>
    </row>
    <row r="276" spans="1:23">
      <c r="A276">
        <v>275</v>
      </c>
      <c r="B276" s="1">
        <v>45293</v>
      </c>
      <c r="C276" s="1">
        <v>45415</v>
      </c>
      <c r="D276" s="29">
        <f>Tailordata[[#This Row],[DueDate]]-Tailordata[[#This Row],[Date]]</f>
        <v>122</v>
      </c>
      <c r="E276" t="s">
        <v>27</v>
      </c>
      <c r="F276" t="s">
        <v>32</v>
      </c>
      <c r="G276">
        <v>185</v>
      </c>
      <c r="H276" t="s">
        <v>26</v>
      </c>
      <c r="I276">
        <v>18</v>
      </c>
      <c r="J276">
        <v>27</v>
      </c>
      <c r="K276">
        <v>23</v>
      </c>
      <c r="L276">
        <v>17</v>
      </c>
      <c r="N276">
        <v>32</v>
      </c>
      <c r="O276">
        <v>23</v>
      </c>
      <c r="P276">
        <v>20</v>
      </c>
    </row>
    <row r="277" spans="1:23">
      <c r="A277">
        <v>276</v>
      </c>
      <c r="B277" s="1">
        <v>45312</v>
      </c>
      <c r="C277" s="1">
        <v>45421</v>
      </c>
      <c r="D277" s="29">
        <f>Tailordata[[#This Row],[DueDate]]-Tailordata[[#This Row],[Date]]</f>
        <v>109</v>
      </c>
      <c r="E277" t="s">
        <v>29</v>
      </c>
      <c r="F277" t="s">
        <v>32</v>
      </c>
      <c r="G277">
        <v>237</v>
      </c>
      <c r="H277" t="s">
        <v>31</v>
      </c>
      <c r="O277">
        <v>22</v>
      </c>
      <c r="Q277">
        <v>21</v>
      </c>
      <c r="R277">
        <v>17</v>
      </c>
      <c r="S277">
        <v>18</v>
      </c>
      <c r="T277">
        <v>14</v>
      </c>
      <c r="U277">
        <v>21</v>
      </c>
    </row>
    <row r="278" spans="1:23">
      <c r="A278">
        <v>277</v>
      </c>
      <c r="B278" s="1">
        <v>45319</v>
      </c>
      <c r="C278" s="1">
        <v>45437</v>
      </c>
      <c r="D278" s="29">
        <f>Tailordata[[#This Row],[DueDate]]-Tailordata[[#This Row],[Date]]</f>
        <v>118</v>
      </c>
      <c r="E278" t="s">
        <v>35</v>
      </c>
      <c r="F278" t="s">
        <v>23</v>
      </c>
      <c r="G278">
        <v>358</v>
      </c>
      <c r="H278" t="s">
        <v>31</v>
      </c>
      <c r="O278">
        <v>23</v>
      </c>
      <c r="P278">
        <v>24</v>
      </c>
      <c r="Q278">
        <v>15</v>
      </c>
      <c r="R278">
        <v>18</v>
      </c>
      <c r="U278">
        <v>15</v>
      </c>
      <c r="V278">
        <v>15</v>
      </c>
      <c r="W278">
        <v>24</v>
      </c>
    </row>
    <row r="279" spans="1:23">
      <c r="A279">
        <v>278</v>
      </c>
      <c r="B279" s="1">
        <v>45333</v>
      </c>
      <c r="C279" s="1">
        <v>45435</v>
      </c>
      <c r="D279" s="29">
        <f>Tailordata[[#This Row],[DueDate]]-Tailordata[[#This Row],[Date]]</f>
        <v>102</v>
      </c>
      <c r="E279" t="s">
        <v>27</v>
      </c>
      <c r="F279" t="s">
        <v>32</v>
      </c>
      <c r="G279">
        <v>85</v>
      </c>
      <c r="H279" t="s">
        <v>26</v>
      </c>
      <c r="I279">
        <v>14</v>
      </c>
      <c r="J279">
        <v>50</v>
      </c>
      <c r="K279">
        <v>18</v>
      </c>
      <c r="L279">
        <v>19</v>
      </c>
      <c r="N279">
        <v>30</v>
      </c>
      <c r="O279">
        <v>17</v>
      </c>
      <c r="P279">
        <v>15</v>
      </c>
    </row>
    <row r="280" spans="1:23">
      <c r="A280">
        <v>279</v>
      </c>
      <c r="B280" s="1">
        <v>45299</v>
      </c>
      <c r="C280" s="1">
        <v>45415</v>
      </c>
      <c r="D280" s="29">
        <f>Tailordata[[#This Row],[DueDate]]-Tailordata[[#This Row],[Date]]</f>
        <v>116</v>
      </c>
      <c r="E280" t="s">
        <v>33</v>
      </c>
      <c r="F280" t="s">
        <v>23</v>
      </c>
      <c r="G280">
        <v>492</v>
      </c>
      <c r="H280" t="s">
        <v>34</v>
      </c>
      <c r="I280">
        <v>18</v>
      </c>
      <c r="J280">
        <v>22</v>
      </c>
      <c r="K280">
        <v>18</v>
      </c>
      <c r="L280">
        <v>15</v>
      </c>
      <c r="M280">
        <v>14</v>
      </c>
      <c r="N280">
        <v>32</v>
      </c>
      <c r="O280">
        <v>23</v>
      </c>
      <c r="Q280">
        <v>24</v>
      </c>
      <c r="R280">
        <v>24</v>
      </c>
    </row>
    <row r="281" spans="1:23">
      <c r="A281">
        <v>280</v>
      </c>
      <c r="B281" s="1">
        <v>45316</v>
      </c>
      <c r="C281" s="1">
        <v>45440</v>
      </c>
      <c r="D281" s="29">
        <f>Tailordata[[#This Row],[DueDate]]-Tailordata[[#This Row],[Date]]</f>
        <v>124</v>
      </c>
      <c r="E281" t="s">
        <v>33</v>
      </c>
      <c r="F281" t="s">
        <v>23</v>
      </c>
      <c r="G281">
        <v>212</v>
      </c>
      <c r="H281" t="s">
        <v>34</v>
      </c>
      <c r="I281">
        <v>20</v>
      </c>
      <c r="J281">
        <v>50</v>
      </c>
      <c r="K281">
        <v>22</v>
      </c>
      <c r="L281">
        <v>22</v>
      </c>
      <c r="M281">
        <v>20</v>
      </c>
      <c r="N281">
        <v>48</v>
      </c>
      <c r="O281">
        <v>18</v>
      </c>
      <c r="Q281">
        <v>17</v>
      </c>
      <c r="R281">
        <v>22</v>
      </c>
    </row>
    <row r="282" spans="1:23">
      <c r="A282">
        <v>281</v>
      </c>
      <c r="B282" s="1">
        <v>45386</v>
      </c>
      <c r="C282" s="1">
        <v>45414</v>
      </c>
      <c r="D282" s="29">
        <f>Tailordata[[#This Row],[DueDate]]-Tailordata[[#This Row],[Date]]</f>
        <v>28</v>
      </c>
      <c r="E282" t="s">
        <v>29</v>
      </c>
      <c r="F282" t="s">
        <v>32</v>
      </c>
      <c r="G282">
        <v>476</v>
      </c>
      <c r="H282" t="s">
        <v>31</v>
      </c>
      <c r="O282">
        <v>18</v>
      </c>
      <c r="Q282">
        <v>24</v>
      </c>
      <c r="R282">
        <v>17</v>
      </c>
      <c r="S282">
        <v>19</v>
      </c>
      <c r="T282">
        <v>15</v>
      </c>
      <c r="U282">
        <v>24</v>
      </c>
    </row>
    <row r="283" spans="1:23">
      <c r="A283">
        <v>282</v>
      </c>
      <c r="B283" s="1">
        <v>45310</v>
      </c>
      <c r="C283" s="1">
        <v>45417</v>
      </c>
      <c r="D283" s="29">
        <f>Tailordata[[#This Row],[DueDate]]-Tailordata[[#This Row],[Date]]</f>
        <v>107</v>
      </c>
      <c r="E283" t="s">
        <v>27</v>
      </c>
      <c r="F283" t="s">
        <v>23</v>
      </c>
      <c r="G283">
        <v>427</v>
      </c>
      <c r="H283" t="s">
        <v>24</v>
      </c>
      <c r="I283">
        <v>20</v>
      </c>
      <c r="J283">
        <v>33</v>
      </c>
      <c r="K283">
        <v>21</v>
      </c>
      <c r="L283">
        <v>22</v>
      </c>
      <c r="N283">
        <v>20</v>
      </c>
      <c r="O283">
        <v>14</v>
      </c>
      <c r="P283">
        <v>17</v>
      </c>
    </row>
    <row r="284" spans="1:23">
      <c r="A284">
        <v>283</v>
      </c>
      <c r="B284" s="1">
        <v>45340</v>
      </c>
      <c r="C284" s="1">
        <v>45433</v>
      </c>
      <c r="D284" s="29">
        <f>Tailordata[[#This Row],[DueDate]]-Tailordata[[#This Row],[Date]]</f>
        <v>93</v>
      </c>
      <c r="E284" t="s">
        <v>33</v>
      </c>
      <c r="F284" t="s">
        <v>36</v>
      </c>
      <c r="G284">
        <v>425</v>
      </c>
      <c r="H284" t="s">
        <v>34</v>
      </c>
      <c r="I284">
        <v>17</v>
      </c>
      <c r="J284">
        <v>31</v>
      </c>
      <c r="K284">
        <v>22</v>
      </c>
      <c r="L284">
        <v>18</v>
      </c>
      <c r="M284">
        <v>23</v>
      </c>
      <c r="N284">
        <v>43</v>
      </c>
      <c r="O284">
        <v>18</v>
      </c>
      <c r="Q284">
        <v>24</v>
      </c>
      <c r="R284">
        <v>17</v>
      </c>
    </row>
    <row r="285" spans="1:23">
      <c r="A285">
        <v>284</v>
      </c>
      <c r="B285" s="1">
        <v>45356</v>
      </c>
      <c r="C285" s="1">
        <v>45413</v>
      </c>
      <c r="D285" s="29">
        <f>Tailordata[[#This Row],[DueDate]]-Tailordata[[#This Row],[Date]]</f>
        <v>57</v>
      </c>
      <c r="E285" t="s">
        <v>33</v>
      </c>
      <c r="F285" t="s">
        <v>23</v>
      </c>
      <c r="G285">
        <v>397</v>
      </c>
      <c r="H285" t="s">
        <v>28</v>
      </c>
      <c r="I285">
        <v>20</v>
      </c>
      <c r="J285">
        <v>43</v>
      </c>
      <c r="K285">
        <v>22</v>
      </c>
      <c r="L285">
        <v>16</v>
      </c>
      <c r="M285">
        <v>15</v>
      </c>
      <c r="N285">
        <v>34</v>
      </c>
      <c r="O285">
        <v>18</v>
      </c>
      <c r="Q285">
        <v>21</v>
      </c>
      <c r="R285">
        <v>14</v>
      </c>
    </row>
    <row r="286" spans="1:23">
      <c r="A286">
        <v>285</v>
      </c>
      <c r="B286" s="1">
        <v>45342</v>
      </c>
      <c r="C286" s="1">
        <v>45424</v>
      </c>
      <c r="D286" s="29">
        <f>Tailordata[[#This Row],[DueDate]]-Tailordata[[#This Row],[Date]]</f>
        <v>82</v>
      </c>
      <c r="E286" t="s">
        <v>27</v>
      </c>
      <c r="F286" t="s">
        <v>25</v>
      </c>
      <c r="G286">
        <v>217</v>
      </c>
      <c r="H286" t="s">
        <v>28</v>
      </c>
      <c r="I286">
        <v>21</v>
      </c>
      <c r="J286">
        <v>41</v>
      </c>
      <c r="K286">
        <v>16</v>
      </c>
      <c r="L286">
        <v>16</v>
      </c>
      <c r="N286">
        <v>37</v>
      </c>
      <c r="O286">
        <v>19</v>
      </c>
      <c r="P286">
        <v>20</v>
      </c>
    </row>
    <row r="287" spans="1:23">
      <c r="A287">
        <v>286</v>
      </c>
      <c r="B287" s="1">
        <v>45397</v>
      </c>
      <c r="C287" s="1">
        <v>45428</v>
      </c>
      <c r="D287" s="29">
        <f>Tailordata[[#This Row],[DueDate]]-Tailordata[[#This Row],[Date]]</f>
        <v>31</v>
      </c>
      <c r="E287" t="s">
        <v>27</v>
      </c>
      <c r="F287" t="s">
        <v>32</v>
      </c>
      <c r="G287">
        <v>218</v>
      </c>
      <c r="H287" t="s">
        <v>24</v>
      </c>
      <c r="I287">
        <v>20</v>
      </c>
      <c r="J287">
        <v>30</v>
      </c>
      <c r="K287">
        <v>14</v>
      </c>
      <c r="L287">
        <v>23</v>
      </c>
      <c r="N287">
        <v>25</v>
      </c>
      <c r="O287">
        <v>16</v>
      </c>
      <c r="P287">
        <v>22</v>
      </c>
    </row>
    <row r="288" spans="1:23">
      <c r="A288">
        <v>287</v>
      </c>
      <c r="B288" s="1">
        <v>45345</v>
      </c>
      <c r="C288" s="1">
        <v>45411</v>
      </c>
      <c r="D288" s="29">
        <f>Tailordata[[#This Row],[DueDate]]-Tailordata[[#This Row],[Date]]</f>
        <v>66</v>
      </c>
      <c r="E288" t="s">
        <v>22</v>
      </c>
      <c r="F288" t="s">
        <v>25</v>
      </c>
      <c r="G288">
        <v>288</v>
      </c>
      <c r="H288" t="s">
        <v>26</v>
      </c>
      <c r="I288">
        <v>24</v>
      </c>
      <c r="J288">
        <v>50</v>
      </c>
      <c r="K288">
        <v>21</v>
      </c>
      <c r="L288">
        <v>21</v>
      </c>
      <c r="M288">
        <v>18</v>
      </c>
    </row>
    <row r="289" spans="1:23">
      <c r="A289">
        <v>288</v>
      </c>
      <c r="B289" s="1">
        <v>45380</v>
      </c>
      <c r="C289" s="1">
        <v>45420</v>
      </c>
      <c r="D289" s="29">
        <f>Tailordata[[#This Row],[DueDate]]-Tailordata[[#This Row],[Date]]</f>
        <v>40</v>
      </c>
      <c r="E289" t="s">
        <v>33</v>
      </c>
      <c r="F289" t="s">
        <v>25</v>
      </c>
      <c r="G289">
        <v>80</v>
      </c>
      <c r="H289" t="s">
        <v>31</v>
      </c>
      <c r="I289">
        <v>18</v>
      </c>
      <c r="J289">
        <v>20</v>
      </c>
      <c r="K289">
        <v>20</v>
      </c>
      <c r="L289">
        <v>17</v>
      </c>
      <c r="M289">
        <v>24</v>
      </c>
      <c r="N289">
        <v>46</v>
      </c>
      <c r="O289">
        <v>15</v>
      </c>
      <c r="Q289">
        <v>24</v>
      </c>
      <c r="R289">
        <v>19</v>
      </c>
    </row>
    <row r="290" spans="1:23">
      <c r="A290">
        <v>289</v>
      </c>
      <c r="B290" s="1">
        <v>45321</v>
      </c>
      <c r="C290" s="1">
        <v>45420</v>
      </c>
      <c r="D290" s="29">
        <f>Tailordata[[#This Row],[DueDate]]-Tailordata[[#This Row],[Date]]</f>
        <v>99</v>
      </c>
      <c r="E290" t="s">
        <v>27</v>
      </c>
      <c r="F290" t="s">
        <v>25</v>
      </c>
      <c r="G290">
        <v>347</v>
      </c>
      <c r="H290" t="s">
        <v>24</v>
      </c>
      <c r="I290">
        <v>21</v>
      </c>
      <c r="J290">
        <v>50</v>
      </c>
      <c r="K290">
        <v>17</v>
      </c>
      <c r="L290">
        <v>21</v>
      </c>
      <c r="N290">
        <v>35</v>
      </c>
      <c r="O290">
        <v>21</v>
      </c>
      <c r="P290">
        <v>20</v>
      </c>
    </row>
    <row r="291" spans="1:23">
      <c r="A291">
        <v>290</v>
      </c>
      <c r="B291" s="1">
        <v>45333</v>
      </c>
      <c r="C291" s="1">
        <v>45439</v>
      </c>
      <c r="D291" s="29">
        <f>Tailordata[[#This Row],[DueDate]]-Tailordata[[#This Row],[Date]]</f>
        <v>106</v>
      </c>
      <c r="E291" t="s">
        <v>29</v>
      </c>
      <c r="F291" t="s">
        <v>25</v>
      </c>
      <c r="G291">
        <v>362</v>
      </c>
      <c r="H291" t="s">
        <v>26</v>
      </c>
      <c r="O291">
        <v>24</v>
      </c>
      <c r="Q291">
        <v>21</v>
      </c>
      <c r="R291">
        <v>17</v>
      </c>
      <c r="S291">
        <v>15</v>
      </c>
      <c r="T291">
        <v>17</v>
      </c>
      <c r="U291">
        <v>19</v>
      </c>
    </row>
    <row r="292" spans="1:23">
      <c r="A292">
        <v>291</v>
      </c>
      <c r="B292" s="1">
        <v>45410</v>
      </c>
      <c r="C292" s="1">
        <v>45433</v>
      </c>
      <c r="D292" s="29">
        <f>Tailordata[[#This Row],[DueDate]]-Tailordata[[#This Row],[Date]]</f>
        <v>23</v>
      </c>
      <c r="E292" t="s">
        <v>29</v>
      </c>
      <c r="F292" t="s">
        <v>32</v>
      </c>
      <c r="G292">
        <v>177</v>
      </c>
      <c r="H292" t="s">
        <v>34</v>
      </c>
      <c r="O292">
        <v>21</v>
      </c>
      <c r="Q292">
        <v>18</v>
      </c>
      <c r="R292">
        <v>21</v>
      </c>
      <c r="S292">
        <v>15</v>
      </c>
      <c r="T292">
        <v>21</v>
      </c>
      <c r="U292">
        <v>18</v>
      </c>
    </row>
    <row r="293" spans="1:23">
      <c r="A293">
        <v>292</v>
      </c>
      <c r="B293" s="1">
        <v>45319</v>
      </c>
      <c r="C293" s="1">
        <v>45418</v>
      </c>
      <c r="D293" s="29">
        <f>Tailordata[[#This Row],[DueDate]]-Tailordata[[#This Row],[Date]]</f>
        <v>99</v>
      </c>
      <c r="E293" t="s">
        <v>29</v>
      </c>
      <c r="F293" t="s">
        <v>36</v>
      </c>
      <c r="G293">
        <v>86</v>
      </c>
      <c r="H293" t="s">
        <v>31</v>
      </c>
      <c r="O293">
        <v>19</v>
      </c>
      <c r="Q293">
        <v>16</v>
      </c>
      <c r="R293">
        <v>24</v>
      </c>
      <c r="S293">
        <v>20</v>
      </c>
      <c r="T293">
        <v>17</v>
      </c>
      <c r="U293">
        <v>23</v>
      </c>
    </row>
    <row r="294" spans="1:23">
      <c r="A294">
        <v>293</v>
      </c>
      <c r="B294" s="1">
        <v>45304</v>
      </c>
      <c r="C294" s="1">
        <v>45433</v>
      </c>
      <c r="D294" s="29">
        <f>Tailordata[[#This Row],[DueDate]]-Tailordata[[#This Row],[Date]]</f>
        <v>129</v>
      </c>
      <c r="E294" t="s">
        <v>22</v>
      </c>
      <c r="F294" t="s">
        <v>30</v>
      </c>
      <c r="G294">
        <v>316</v>
      </c>
      <c r="H294" t="s">
        <v>24</v>
      </c>
      <c r="I294">
        <v>23</v>
      </c>
      <c r="J294">
        <v>29</v>
      </c>
      <c r="K294">
        <v>18</v>
      </c>
      <c r="L294">
        <v>21</v>
      </c>
      <c r="M294">
        <v>16</v>
      </c>
    </row>
    <row r="295" spans="1:23">
      <c r="A295">
        <v>294</v>
      </c>
      <c r="B295" s="1">
        <v>45350</v>
      </c>
      <c r="C295" s="1">
        <v>45412</v>
      </c>
      <c r="D295" s="29">
        <f>Tailordata[[#This Row],[DueDate]]-Tailordata[[#This Row],[Date]]</f>
        <v>62</v>
      </c>
      <c r="E295" t="s">
        <v>33</v>
      </c>
      <c r="F295" t="s">
        <v>25</v>
      </c>
      <c r="G295">
        <v>81</v>
      </c>
      <c r="H295" t="s">
        <v>26</v>
      </c>
      <c r="I295">
        <v>16</v>
      </c>
      <c r="J295">
        <v>40</v>
      </c>
      <c r="K295">
        <v>24</v>
      </c>
      <c r="L295">
        <v>16</v>
      </c>
      <c r="M295">
        <v>21</v>
      </c>
      <c r="N295">
        <v>45</v>
      </c>
      <c r="O295">
        <v>17</v>
      </c>
      <c r="Q295">
        <v>18</v>
      </c>
      <c r="R295">
        <v>18</v>
      </c>
    </row>
    <row r="296" spans="1:23">
      <c r="A296">
        <v>295</v>
      </c>
      <c r="B296" s="1">
        <v>45370</v>
      </c>
      <c r="C296" s="1">
        <v>45431</v>
      </c>
      <c r="D296" s="29">
        <f>Tailordata[[#This Row],[DueDate]]-Tailordata[[#This Row],[Date]]</f>
        <v>61</v>
      </c>
      <c r="E296" t="s">
        <v>33</v>
      </c>
      <c r="F296" t="s">
        <v>36</v>
      </c>
      <c r="G296">
        <v>274</v>
      </c>
      <c r="H296" t="s">
        <v>24</v>
      </c>
      <c r="I296">
        <v>17</v>
      </c>
      <c r="J296">
        <v>43</v>
      </c>
      <c r="K296">
        <v>18</v>
      </c>
      <c r="L296">
        <v>18</v>
      </c>
      <c r="M296">
        <v>17</v>
      </c>
      <c r="N296">
        <v>48</v>
      </c>
      <c r="O296">
        <v>14</v>
      </c>
      <c r="Q296">
        <v>20</v>
      </c>
      <c r="R296">
        <v>19</v>
      </c>
    </row>
    <row r="297" spans="1:23">
      <c r="A297">
        <v>296</v>
      </c>
      <c r="B297" s="1">
        <v>45342</v>
      </c>
      <c r="C297" s="1">
        <v>45439</v>
      </c>
      <c r="D297" s="29">
        <f>Tailordata[[#This Row],[DueDate]]-Tailordata[[#This Row],[Date]]</f>
        <v>97</v>
      </c>
      <c r="E297" t="s">
        <v>35</v>
      </c>
      <c r="F297" t="s">
        <v>25</v>
      </c>
      <c r="G297">
        <v>50</v>
      </c>
      <c r="H297" t="s">
        <v>31</v>
      </c>
      <c r="O297">
        <v>24</v>
      </c>
      <c r="P297">
        <v>24</v>
      </c>
      <c r="Q297">
        <v>20</v>
      </c>
      <c r="R297">
        <v>14</v>
      </c>
      <c r="U297">
        <v>19</v>
      </c>
      <c r="V297">
        <v>16</v>
      </c>
      <c r="W297">
        <v>15</v>
      </c>
    </row>
    <row r="298" spans="1:23">
      <c r="A298">
        <v>297</v>
      </c>
      <c r="B298" s="1">
        <v>45349</v>
      </c>
      <c r="C298" s="1">
        <v>45429</v>
      </c>
      <c r="D298" s="29">
        <f>Tailordata[[#This Row],[DueDate]]-Tailordata[[#This Row],[Date]]</f>
        <v>80</v>
      </c>
      <c r="E298" t="s">
        <v>35</v>
      </c>
      <c r="F298" t="s">
        <v>32</v>
      </c>
      <c r="G298">
        <v>273</v>
      </c>
      <c r="H298" t="s">
        <v>26</v>
      </c>
      <c r="O298">
        <v>18</v>
      </c>
      <c r="P298">
        <v>15</v>
      </c>
      <c r="Q298">
        <v>15</v>
      </c>
      <c r="R298">
        <v>19</v>
      </c>
      <c r="U298">
        <v>22</v>
      </c>
      <c r="V298">
        <v>18</v>
      </c>
      <c r="W298">
        <v>20</v>
      </c>
    </row>
    <row r="299" spans="1:23">
      <c r="A299">
        <v>298</v>
      </c>
      <c r="B299" s="1">
        <v>45349</v>
      </c>
      <c r="C299" s="1">
        <v>45432</v>
      </c>
      <c r="D299" s="29">
        <f>Tailordata[[#This Row],[DueDate]]-Tailordata[[#This Row],[Date]]</f>
        <v>83</v>
      </c>
      <c r="E299" t="s">
        <v>27</v>
      </c>
      <c r="F299" t="s">
        <v>36</v>
      </c>
      <c r="G299">
        <v>402</v>
      </c>
      <c r="H299" t="s">
        <v>28</v>
      </c>
      <c r="I299">
        <v>16</v>
      </c>
      <c r="J299">
        <v>30</v>
      </c>
      <c r="K299">
        <v>15</v>
      </c>
      <c r="L299">
        <v>19</v>
      </c>
      <c r="N299">
        <v>39</v>
      </c>
      <c r="O299">
        <v>23</v>
      </c>
      <c r="P299">
        <v>16</v>
      </c>
    </row>
    <row r="300" spans="1:23">
      <c r="A300">
        <v>299</v>
      </c>
      <c r="B300" s="1">
        <v>45304</v>
      </c>
      <c r="C300" s="1">
        <v>45437</v>
      </c>
      <c r="D300" s="29">
        <f>Tailordata[[#This Row],[DueDate]]-Tailordata[[#This Row],[Date]]</f>
        <v>133</v>
      </c>
      <c r="E300" t="s">
        <v>27</v>
      </c>
      <c r="F300" t="s">
        <v>32</v>
      </c>
      <c r="G300">
        <v>94</v>
      </c>
      <c r="H300" t="s">
        <v>26</v>
      </c>
      <c r="I300">
        <v>14</v>
      </c>
      <c r="J300">
        <v>28</v>
      </c>
      <c r="K300">
        <v>14</v>
      </c>
      <c r="L300">
        <v>18</v>
      </c>
      <c r="N300">
        <v>23</v>
      </c>
      <c r="O300">
        <v>14</v>
      </c>
      <c r="P300">
        <v>21</v>
      </c>
    </row>
    <row r="301" spans="1:23">
      <c r="A301">
        <v>300</v>
      </c>
      <c r="B301" s="1">
        <v>45403</v>
      </c>
      <c r="C301" s="1">
        <v>45418</v>
      </c>
      <c r="D301" s="29">
        <f>Tailordata[[#This Row],[DueDate]]-Tailordata[[#This Row],[Date]]</f>
        <v>15</v>
      </c>
      <c r="E301" t="s">
        <v>35</v>
      </c>
      <c r="F301" t="s">
        <v>25</v>
      </c>
      <c r="G301">
        <v>455</v>
      </c>
      <c r="H301" t="s">
        <v>28</v>
      </c>
      <c r="O301">
        <v>15</v>
      </c>
      <c r="P301">
        <v>16</v>
      </c>
      <c r="Q301">
        <v>14</v>
      </c>
      <c r="R301">
        <v>24</v>
      </c>
      <c r="U301">
        <v>15</v>
      </c>
      <c r="V301">
        <v>18</v>
      </c>
      <c r="W301">
        <v>14</v>
      </c>
    </row>
    <row r="302" spans="1:23">
      <c r="A302">
        <v>301</v>
      </c>
      <c r="B302" s="1">
        <v>45388</v>
      </c>
      <c r="C302" s="1">
        <v>45434</v>
      </c>
      <c r="D302" s="29">
        <f>Tailordata[[#This Row],[DueDate]]-Tailordata[[#This Row],[Date]]</f>
        <v>46</v>
      </c>
      <c r="E302" t="s">
        <v>33</v>
      </c>
      <c r="F302" t="s">
        <v>30</v>
      </c>
      <c r="G302">
        <v>194</v>
      </c>
      <c r="H302" t="s">
        <v>28</v>
      </c>
      <c r="I302">
        <v>15</v>
      </c>
      <c r="J302">
        <v>31</v>
      </c>
      <c r="K302">
        <v>22</v>
      </c>
      <c r="L302">
        <v>21</v>
      </c>
      <c r="M302">
        <v>19</v>
      </c>
      <c r="N302">
        <v>24</v>
      </c>
      <c r="O302">
        <v>22</v>
      </c>
      <c r="Q302">
        <v>16</v>
      </c>
      <c r="R302">
        <v>18</v>
      </c>
    </row>
    <row r="303" spans="1:23">
      <c r="A303">
        <v>302</v>
      </c>
      <c r="B303" s="1">
        <v>45408</v>
      </c>
      <c r="C303" s="1">
        <v>45421</v>
      </c>
      <c r="D303" s="29">
        <f>Tailordata[[#This Row],[DueDate]]-Tailordata[[#This Row],[Date]]</f>
        <v>13</v>
      </c>
      <c r="E303" t="s">
        <v>35</v>
      </c>
      <c r="F303" t="s">
        <v>23</v>
      </c>
      <c r="G303">
        <v>460</v>
      </c>
      <c r="H303" t="s">
        <v>28</v>
      </c>
      <c r="O303">
        <v>18</v>
      </c>
      <c r="P303">
        <v>17</v>
      </c>
      <c r="Q303">
        <v>21</v>
      </c>
      <c r="R303">
        <v>24</v>
      </c>
      <c r="U303">
        <v>23</v>
      </c>
      <c r="V303">
        <v>16</v>
      </c>
      <c r="W303">
        <v>23</v>
      </c>
    </row>
    <row r="304" spans="1:23">
      <c r="A304">
        <v>303</v>
      </c>
      <c r="B304" s="1">
        <v>45301</v>
      </c>
      <c r="C304" s="1">
        <v>45414</v>
      </c>
      <c r="D304" s="29">
        <f>Tailordata[[#This Row],[DueDate]]-Tailordata[[#This Row],[Date]]</f>
        <v>113</v>
      </c>
      <c r="E304" t="s">
        <v>22</v>
      </c>
      <c r="F304" t="s">
        <v>36</v>
      </c>
      <c r="G304">
        <v>355</v>
      </c>
      <c r="H304" t="s">
        <v>34</v>
      </c>
      <c r="I304">
        <v>20</v>
      </c>
      <c r="J304">
        <v>28</v>
      </c>
      <c r="K304">
        <v>19</v>
      </c>
      <c r="L304">
        <v>22</v>
      </c>
      <c r="M304">
        <v>21</v>
      </c>
    </row>
    <row r="305" spans="1:23">
      <c r="A305">
        <v>304</v>
      </c>
      <c r="B305" s="1">
        <v>45339</v>
      </c>
      <c r="C305" s="1">
        <v>45432</v>
      </c>
      <c r="D305" s="29">
        <f>Tailordata[[#This Row],[DueDate]]-Tailordata[[#This Row],[Date]]</f>
        <v>93</v>
      </c>
      <c r="E305" t="s">
        <v>22</v>
      </c>
      <c r="F305" t="s">
        <v>23</v>
      </c>
      <c r="G305">
        <v>242</v>
      </c>
      <c r="H305" t="s">
        <v>26</v>
      </c>
      <c r="I305">
        <v>14</v>
      </c>
      <c r="J305">
        <v>21</v>
      </c>
      <c r="K305">
        <v>17</v>
      </c>
      <c r="L305">
        <v>15</v>
      </c>
      <c r="M305">
        <v>18</v>
      </c>
    </row>
    <row r="306" spans="1:23">
      <c r="A306">
        <v>305</v>
      </c>
      <c r="B306" s="1">
        <v>45351</v>
      </c>
      <c r="C306" s="1">
        <v>45436</v>
      </c>
      <c r="D306" s="29">
        <f>Tailordata[[#This Row],[DueDate]]-Tailordata[[#This Row],[Date]]</f>
        <v>85</v>
      </c>
      <c r="E306" t="s">
        <v>29</v>
      </c>
      <c r="F306" t="s">
        <v>36</v>
      </c>
      <c r="G306">
        <v>411</v>
      </c>
      <c r="H306" t="s">
        <v>26</v>
      </c>
      <c r="O306">
        <v>19</v>
      </c>
      <c r="Q306">
        <v>20</v>
      </c>
      <c r="R306">
        <v>23</v>
      </c>
      <c r="S306">
        <v>16</v>
      </c>
      <c r="T306">
        <v>19</v>
      </c>
      <c r="U306">
        <v>19</v>
      </c>
    </row>
    <row r="307" spans="1:23">
      <c r="A307">
        <v>306</v>
      </c>
      <c r="B307" s="1">
        <v>45388</v>
      </c>
      <c r="C307" s="1">
        <v>45432</v>
      </c>
      <c r="D307" s="29">
        <f>Tailordata[[#This Row],[DueDate]]-Tailordata[[#This Row],[Date]]</f>
        <v>44</v>
      </c>
      <c r="E307" t="s">
        <v>22</v>
      </c>
      <c r="F307" t="s">
        <v>32</v>
      </c>
      <c r="G307">
        <v>292</v>
      </c>
      <c r="H307" t="s">
        <v>28</v>
      </c>
      <c r="I307">
        <v>23</v>
      </c>
      <c r="J307">
        <v>24</v>
      </c>
      <c r="K307">
        <v>22</v>
      </c>
      <c r="L307">
        <v>16</v>
      </c>
      <c r="M307">
        <v>20</v>
      </c>
    </row>
    <row r="308" spans="1:23">
      <c r="A308">
        <v>307</v>
      </c>
      <c r="B308" s="1">
        <v>45398</v>
      </c>
      <c r="C308" s="1">
        <v>45426</v>
      </c>
      <c r="D308" s="29">
        <f>Tailordata[[#This Row],[DueDate]]-Tailordata[[#This Row],[Date]]</f>
        <v>28</v>
      </c>
      <c r="E308" t="s">
        <v>29</v>
      </c>
      <c r="F308" t="s">
        <v>25</v>
      </c>
      <c r="G308">
        <v>271</v>
      </c>
      <c r="H308" t="s">
        <v>31</v>
      </c>
      <c r="O308">
        <v>23</v>
      </c>
      <c r="Q308">
        <v>23</v>
      </c>
      <c r="R308">
        <v>21</v>
      </c>
      <c r="S308">
        <v>16</v>
      </c>
      <c r="T308">
        <v>18</v>
      </c>
      <c r="U308">
        <v>20</v>
      </c>
    </row>
    <row r="309" spans="1:23">
      <c r="A309">
        <v>308</v>
      </c>
      <c r="B309" s="1">
        <v>45380</v>
      </c>
      <c r="C309" s="1">
        <v>45422</v>
      </c>
      <c r="D309" s="29">
        <f>Tailordata[[#This Row],[DueDate]]-Tailordata[[#This Row],[Date]]</f>
        <v>42</v>
      </c>
      <c r="E309" t="s">
        <v>27</v>
      </c>
      <c r="F309" t="s">
        <v>30</v>
      </c>
      <c r="G309">
        <v>384</v>
      </c>
      <c r="H309" t="s">
        <v>28</v>
      </c>
      <c r="I309">
        <v>22</v>
      </c>
      <c r="J309">
        <v>21</v>
      </c>
      <c r="K309">
        <v>17</v>
      </c>
      <c r="L309">
        <v>20</v>
      </c>
      <c r="N309">
        <v>43</v>
      </c>
      <c r="O309">
        <v>21</v>
      </c>
      <c r="P309">
        <v>17</v>
      </c>
    </row>
    <row r="310" spans="1:23">
      <c r="A310">
        <v>309</v>
      </c>
      <c r="B310" s="1">
        <v>45370</v>
      </c>
      <c r="C310" s="1">
        <v>45439</v>
      </c>
      <c r="D310" s="29">
        <f>Tailordata[[#This Row],[DueDate]]-Tailordata[[#This Row],[Date]]</f>
        <v>69</v>
      </c>
      <c r="E310" t="s">
        <v>33</v>
      </c>
      <c r="F310" t="s">
        <v>32</v>
      </c>
      <c r="G310">
        <v>107</v>
      </c>
      <c r="H310" t="s">
        <v>31</v>
      </c>
      <c r="I310">
        <v>17</v>
      </c>
      <c r="J310">
        <v>47</v>
      </c>
      <c r="K310">
        <v>17</v>
      </c>
      <c r="L310">
        <v>17</v>
      </c>
      <c r="M310">
        <v>22</v>
      </c>
      <c r="N310">
        <v>32</v>
      </c>
      <c r="O310">
        <v>22</v>
      </c>
      <c r="Q310">
        <v>14</v>
      </c>
      <c r="R310">
        <v>17</v>
      </c>
    </row>
    <row r="311" spans="1:23">
      <c r="A311">
        <v>310</v>
      </c>
      <c r="B311" s="1">
        <v>45303</v>
      </c>
      <c r="C311" s="1">
        <v>45420</v>
      </c>
      <c r="D311" s="29">
        <f>Tailordata[[#This Row],[DueDate]]-Tailordata[[#This Row],[Date]]</f>
        <v>117</v>
      </c>
      <c r="E311" t="s">
        <v>33</v>
      </c>
      <c r="F311" t="s">
        <v>23</v>
      </c>
      <c r="G311">
        <v>458</v>
      </c>
      <c r="H311" t="s">
        <v>31</v>
      </c>
      <c r="I311">
        <v>23</v>
      </c>
      <c r="J311">
        <v>49</v>
      </c>
      <c r="K311">
        <v>15</v>
      </c>
      <c r="L311">
        <v>15</v>
      </c>
      <c r="M311">
        <v>17</v>
      </c>
      <c r="N311">
        <v>41</v>
      </c>
      <c r="O311">
        <v>20</v>
      </c>
      <c r="Q311">
        <v>15</v>
      </c>
      <c r="R311">
        <v>16</v>
      </c>
    </row>
    <row r="312" spans="1:23">
      <c r="A312">
        <v>311</v>
      </c>
      <c r="B312" s="1">
        <v>45327</v>
      </c>
      <c r="C312" s="1">
        <v>45424</v>
      </c>
      <c r="D312" s="29">
        <f>Tailordata[[#This Row],[DueDate]]-Tailordata[[#This Row],[Date]]</f>
        <v>97</v>
      </c>
      <c r="E312" t="s">
        <v>35</v>
      </c>
      <c r="F312" t="s">
        <v>36</v>
      </c>
      <c r="G312">
        <v>401</v>
      </c>
      <c r="H312" t="s">
        <v>34</v>
      </c>
      <c r="O312">
        <v>22</v>
      </c>
      <c r="P312">
        <v>16</v>
      </c>
      <c r="Q312">
        <v>17</v>
      </c>
      <c r="R312">
        <v>24</v>
      </c>
      <c r="U312">
        <v>24</v>
      </c>
      <c r="V312">
        <v>18</v>
      </c>
      <c r="W312">
        <v>15</v>
      </c>
    </row>
    <row r="313" spans="1:23">
      <c r="A313">
        <v>312</v>
      </c>
      <c r="B313" s="1">
        <v>45376</v>
      </c>
      <c r="C313" s="1">
        <v>45431</v>
      </c>
      <c r="D313" s="29">
        <f>Tailordata[[#This Row],[DueDate]]-Tailordata[[#This Row],[Date]]</f>
        <v>55</v>
      </c>
      <c r="E313" t="s">
        <v>33</v>
      </c>
      <c r="F313" t="s">
        <v>25</v>
      </c>
      <c r="G313">
        <v>283</v>
      </c>
      <c r="H313" t="s">
        <v>28</v>
      </c>
      <c r="I313">
        <v>17</v>
      </c>
      <c r="J313">
        <v>49</v>
      </c>
      <c r="K313">
        <v>16</v>
      </c>
      <c r="L313">
        <v>16</v>
      </c>
      <c r="M313">
        <v>19</v>
      </c>
      <c r="N313">
        <v>37</v>
      </c>
      <c r="O313">
        <v>20</v>
      </c>
      <c r="Q313">
        <v>22</v>
      </c>
      <c r="R313">
        <v>23</v>
      </c>
    </row>
    <row r="314" spans="1:23">
      <c r="A314">
        <v>313</v>
      </c>
      <c r="B314" s="1">
        <v>45361</v>
      </c>
      <c r="C314" s="1">
        <v>45411</v>
      </c>
      <c r="D314" s="29">
        <f>Tailordata[[#This Row],[DueDate]]-Tailordata[[#This Row],[Date]]</f>
        <v>50</v>
      </c>
      <c r="E314" t="s">
        <v>33</v>
      </c>
      <c r="F314" t="s">
        <v>23</v>
      </c>
      <c r="G314">
        <v>174</v>
      </c>
      <c r="H314" t="s">
        <v>34</v>
      </c>
      <c r="I314">
        <v>19</v>
      </c>
      <c r="J314">
        <v>21</v>
      </c>
      <c r="K314">
        <v>21</v>
      </c>
      <c r="L314">
        <v>14</v>
      </c>
      <c r="M314">
        <v>21</v>
      </c>
      <c r="N314">
        <v>42</v>
      </c>
      <c r="O314">
        <v>21</v>
      </c>
      <c r="Q314">
        <v>16</v>
      </c>
      <c r="R314">
        <v>22</v>
      </c>
    </row>
    <row r="315" spans="1:23">
      <c r="A315">
        <v>314</v>
      </c>
      <c r="B315" s="1">
        <v>45331</v>
      </c>
      <c r="C315" s="1">
        <v>45422</v>
      </c>
      <c r="D315" s="29">
        <f>Tailordata[[#This Row],[DueDate]]-Tailordata[[#This Row],[Date]]</f>
        <v>91</v>
      </c>
      <c r="E315" t="s">
        <v>35</v>
      </c>
      <c r="F315" t="s">
        <v>30</v>
      </c>
      <c r="G315">
        <v>481</v>
      </c>
      <c r="H315" t="s">
        <v>31</v>
      </c>
      <c r="O315">
        <v>17</v>
      </c>
      <c r="P315">
        <v>14</v>
      </c>
      <c r="Q315">
        <v>18</v>
      </c>
      <c r="R315">
        <v>16</v>
      </c>
      <c r="U315">
        <v>17</v>
      </c>
      <c r="V315">
        <v>23</v>
      </c>
      <c r="W315">
        <v>15</v>
      </c>
    </row>
    <row r="316" spans="1:23">
      <c r="A316">
        <v>315</v>
      </c>
      <c r="B316" s="1">
        <v>45321</v>
      </c>
      <c r="C316" s="1">
        <v>45413</v>
      </c>
      <c r="D316" s="29">
        <f>Tailordata[[#This Row],[DueDate]]-Tailordata[[#This Row],[Date]]</f>
        <v>92</v>
      </c>
      <c r="E316" t="s">
        <v>22</v>
      </c>
      <c r="F316" t="s">
        <v>36</v>
      </c>
      <c r="G316">
        <v>339</v>
      </c>
      <c r="H316" t="s">
        <v>31</v>
      </c>
      <c r="I316">
        <v>14</v>
      </c>
      <c r="J316">
        <v>23</v>
      </c>
      <c r="K316">
        <v>22</v>
      </c>
      <c r="L316">
        <v>20</v>
      </c>
      <c r="M316">
        <v>23</v>
      </c>
    </row>
    <row r="317" spans="1:23">
      <c r="A317">
        <v>316</v>
      </c>
      <c r="B317" s="1">
        <v>45340</v>
      </c>
      <c r="C317" s="1">
        <v>45423</v>
      </c>
      <c r="D317" s="29">
        <f>Tailordata[[#This Row],[DueDate]]-Tailordata[[#This Row],[Date]]</f>
        <v>83</v>
      </c>
      <c r="E317" t="s">
        <v>27</v>
      </c>
      <c r="F317" t="s">
        <v>30</v>
      </c>
      <c r="G317">
        <v>221</v>
      </c>
      <c r="H317" t="s">
        <v>28</v>
      </c>
      <c r="I317">
        <v>16</v>
      </c>
      <c r="J317">
        <v>30</v>
      </c>
      <c r="K317">
        <v>22</v>
      </c>
      <c r="L317">
        <v>20</v>
      </c>
      <c r="N317">
        <v>44</v>
      </c>
      <c r="O317">
        <v>23</v>
      </c>
      <c r="P317">
        <v>15</v>
      </c>
    </row>
    <row r="318" spans="1:23">
      <c r="A318">
        <v>317</v>
      </c>
      <c r="B318" s="1">
        <v>45379</v>
      </c>
      <c r="C318" s="1">
        <v>45428</v>
      </c>
      <c r="D318" s="29">
        <f>Tailordata[[#This Row],[DueDate]]-Tailordata[[#This Row],[Date]]</f>
        <v>49</v>
      </c>
      <c r="E318" t="s">
        <v>35</v>
      </c>
      <c r="F318" t="s">
        <v>23</v>
      </c>
      <c r="G318">
        <v>363</v>
      </c>
      <c r="H318" t="s">
        <v>28</v>
      </c>
      <c r="O318">
        <v>14</v>
      </c>
      <c r="P318">
        <v>18</v>
      </c>
      <c r="Q318">
        <v>15</v>
      </c>
      <c r="R318">
        <v>19</v>
      </c>
      <c r="U318">
        <v>21</v>
      </c>
      <c r="V318">
        <v>15</v>
      </c>
      <c r="W318">
        <v>22</v>
      </c>
    </row>
    <row r="319" spans="1:23">
      <c r="A319">
        <v>318</v>
      </c>
      <c r="B319" s="1">
        <v>45293</v>
      </c>
      <c r="C319" s="1">
        <v>45412</v>
      </c>
      <c r="D319" s="29">
        <f>Tailordata[[#This Row],[DueDate]]-Tailordata[[#This Row],[Date]]</f>
        <v>119</v>
      </c>
      <c r="E319" t="s">
        <v>33</v>
      </c>
      <c r="F319" t="s">
        <v>23</v>
      </c>
      <c r="G319">
        <v>139</v>
      </c>
      <c r="H319" t="s">
        <v>26</v>
      </c>
      <c r="I319">
        <v>19</v>
      </c>
      <c r="J319">
        <v>44</v>
      </c>
      <c r="K319">
        <v>19</v>
      </c>
      <c r="L319">
        <v>16</v>
      </c>
      <c r="M319">
        <v>18</v>
      </c>
      <c r="N319">
        <v>22</v>
      </c>
      <c r="O319">
        <v>21</v>
      </c>
      <c r="Q319">
        <v>14</v>
      </c>
      <c r="R319">
        <v>15</v>
      </c>
    </row>
    <row r="320" spans="1:23">
      <c r="A320">
        <v>319</v>
      </c>
      <c r="B320" s="1">
        <v>45318</v>
      </c>
      <c r="C320" s="1">
        <v>45430</v>
      </c>
      <c r="D320" s="29">
        <f>Tailordata[[#This Row],[DueDate]]-Tailordata[[#This Row],[Date]]</f>
        <v>112</v>
      </c>
      <c r="E320" t="s">
        <v>35</v>
      </c>
      <c r="F320" t="s">
        <v>36</v>
      </c>
      <c r="G320">
        <v>474</v>
      </c>
      <c r="H320" t="s">
        <v>31</v>
      </c>
      <c r="O320">
        <v>15</v>
      </c>
      <c r="P320">
        <v>20</v>
      </c>
      <c r="Q320">
        <v>15</v>
      </c>
      <c r="R320">
        <v>23</v>
      </c>
      <c r="U320">
        <v>22</v>
      </c>
      <c r="V320">
        <v>16</v>
      </c>
      <c r="W320">
        <v>16</v>
      </c>
    </row>
    <row r="321" spans="1:23">
      <c r="A321">
        <v>320</v>
      </c>
      <c r="B321" s="1">
        <v>45336</v>
      </c>
      <c r="C321" s="1">
        <v>45425</v>
      </c>
      <c r="D321" s="29">
        <f>Tailordata[[#This Row],[DueDate]]-Tailordata[[#This Row],[Date]]</f>
        <v>89</v>
      </c>
      <c r="E321" t="s">
        <v>35</v>
      </c>
      <c r="F321" t="s">
        <v>32</v>
      </c>
      <c r="G321">
        <v>220</v>
      </c>
      <c r="H321" t="s">
        <v>31</v>
      </c>
      <c r="O321">
        <v>21</v>
      </c>
      <c r="P321">
        <v>23</v>
      </c>
      <c r="Q321">
        <v>18</v>
      </c>
      <c r="R321">
        <v>18</v>
      </c>
      <c r="U321">
        <v>24</v>
      </c>
      <c r="V321">
        <v>19</v>
      </c>
      <c r="W321">
        <v>23</v>
      </c>
    </row>
    <row r="322" spans="1:23">
      <c r="A322">
        <v>321</v>
      </c>
      <c r="B322" s="1">
        <v>45309</v>
      </c>
      <c r="C322" s="1">
        <v>45431</v>
      </c>
      <c r="D322" s="29">
        <f>Tailordata[[#This Row],[DueDate]]-Tailordata[[#This Row],[Date]]</f>
        <v>122</v>
      </c>
      <c r="E322" t="s">
        <v>29</v>
      </c>
      <c r="F322" t="s">
        <v>30</v>
      </c>
      <c r="G322">
        <v>290</v>
      </c>
      <c r="H322" t="s">
        <v>28</v>
      </c>
      <c r="O322">
        <v>20</v>
      </c>
      <c r="Q322">
        <v>21</v>
      </c>
      <c r="R322">
        <v>15</v>
      </c>
      <c r="S322">
        <v>15</v>
      </c>
      <c r="T322">
        <v>21</v>
      </c>
      <c r="U322">
        <v>16</v>
      </c>
    </row>
    <row r="323" spans="1:23">
      <c r="A323">
        <v>322</v>
      </c>
      <c r="B323" s="1">
        <v>45340</v>
      </c>
      <c r="C323" s="1">
        <v>45418</v>
      </c>
      <c r="D323" s="29">
        <f>Tailordata[[#This Row],[DueDate]]-Tailordata[[#This Row],[Date]]</f>
        <v>78</v>
      </c>
      <c r="E323" t="s">
        <v>27</v>
      </c>
      <c r="F323" t="s">
        <v>36</v>
      </c>
      <c r="G323">
        <v>219</v>
      </c>
      <c r="H323" t="s">
        <v>34</v>
      </c>
      <c r="I323">
        <v>15</v>
      </c>
      <c r="J323">
        <v>48</v>
      </c>
      <c r="K323">
        <v>19</v>
      </c>
      <c r="L323">
        <v>20</v>
      </c>
      <c r="N323">
        <v>28</v>
      </c>
      <c r="O323">
        <v>24</v>
      </c>
      <c r="P323">
        <v>18</v>
      </c>
    </row>
    <row r="324" spans="1:23">
      <c r="A324">
        <v>323</v>
      </c>
      <c r="B324" s="1">
        <v>45343</v>
      </c>
      <c r="C324" s="1">
        <v>45431</v>
      </c>
      <c r="D324" s="29">
        <f>Tailordata[[#This Row],[DueDate]]-Tailordata[[#This Row],[Date]]</f>
        <v>88</v>
      </c>
      <c r="E324" t="s">
        <v>27</v>
      </c>
      <c r="F324" t="s">
        <v>23</v>
      </c>
      <c r="G324">
        <v>107</v>
      </c>
      <c r="H324" t="s">
        <v>34</v>
      </c>
      <c r="I324">
        <v>16</v>
      </c>
      <c r="J324">
        <v>23</v>
      </c>
      <c r="K324">
        <v>19</v>
      </c>
      <c r="L324">
        <v>24</v>
      </c>
      <c r="N324">
        <v>36</v>
      </c>
      <c r="O324">
        <v>22</v>
      </c>
      <c r="P324">
        <v>17</v>
      </c>
    </row>
    <row r="325" spans="1:23">
      <c r="A325">
        <v>324</v>
      </c>
      <c r="B325" s="1">
        <v>45343</v>
      </c>
      <c r="C325" s="1">
        <v>45430</v>
      </c>
      <c r="D325" s="29">
        <f>Tailordata[[#This Row],[DueDate]]-Tailordata[[#This Row],[Date]]</f>
        <v>87</v>
      </c>
      <c r="E325" t="s">
        <v>29</v>
      </c>
      <c r="F325" t="s">
        <v>36</v>
      </c>
      <c r="G325">
        <v>217</v>
      </c>
      <c r="H325" t="s">
        <v>31</v>
      </c>
      <c r="O325">
        <v>15</v>
      </c>
      <c r="Q325">
        <v>21</v>
      </c>
      <c r="R325">
        <v>18</v>
      </c>
      <c r="S325">
        <v>18</v>
      </c>
      <c r="T325">
        <v>19</v>
      </c>
      <c r="U325">
        <v>19</v>
      </c>
    </row>
    <row r="326" spans="1:23">
      <c r="A326">
        <v>325</v>
      </c>
      <c r="B326" s="1">
        <v>45320</v>
      </c>
      <c r="C326" s="1">
        <v>45430</v>
      </c>
      <c r="D326" s="29">
        <f>Tailordata[[#This Row],[DueDate]]-Tailordata[[#This Row],[Date]]</f>
        <v>110</v>
      </c>
      <c r="E326" t="s">
        <v>27</v>
      </c>
      <c r="F326" t="s">
        <v>23</v>
      </c>
      <c r="G326">
        <v>164</v>
      </c>
      <c r="H326" t="s">
        <v>28</v>
      </c>
      <c r="I326">
        <v>19</v>
      </c>
      <c r="J326">
        <v>41</v>
      </c>
      <c r="K326">
        <v>14</v>
      </c>
      <c r="L326">
        <v>15</v>
      </c>
      <c r="N326">
        <v>31</v>
      </c>
      <c r="O326">
        <v>19</v>
      </c>
      <c r="P326">
        <v>20</v>
      </c>
    </row>
    <row r="327" spans="1:23">
      <c r="A327">
        <v>326</v>
      </c>
      <c r="B327" s="1">
        <v>45342</v>
      </c>
      <c r="C327" s="1">
        <v>45434</v>
      </c>
      <c r="D327" s="29">
        <f>Tailordata[[#This Row],[DueDate]]-Tailordata[[#This Row],[Date]]</f>
        <v>92</v>
      </c>
      <c r="E327" t="s">
        <v>22</v>
      </c>
      <c r="F327" t="s">
        <v>25</v>
      </c>
      <c r="G327">
        <v>340</v>
      </c>
      <c r="H327" t="s">
        <v>31</v>
      </c>
      <c r="I327">
        <v>18</v>
      </c>
      <c r="J327">
        <v>49</v>
      </c>
      <c r="K327">
        <v>17</v>
      </c>
      <c r="L327">
        <v>23</v>
      </c>
      <c r="M327">
        <v>21</v>
      </c>
    </row>
    <row r="328" spans="1:23">
      <c r="A328">
        <v>327</v>
      </c>
      <c r="B328" s="1">
        <v>45374</v>
      </c>
      <c r="C328" s="1">
        <v>45426</v>
      </c>
      <c r="D328" s="29">
        <f>Tailordata[[#This Row],[DueDate]]-Tailordata[[#This Row],[Date]]</f>
        <v>52</v>
      </c>
      <c r="E328" t="s">
        <v>33</v>
      </c>
      <c r="F328" t="s">
        <v>36</v>
      </c>
      <c r="G328">
        <v>314</v>
      </c>
      <c r="H328" t="s">
        <v>34</v>
      </c>
      <c r="I328">
        <v>17</v>
      </c>
      <c r="J328">
        <v>33</v>
      </c>
      <c r="K328">
        <v>24</v>
      </c>
      <c r="L328">
        <v>18</v>
      </c>
      <c r="M328">
        <v>16</v>
      </c>
      <c r="N328">
        <v>37</v>
      </c>
      <c r="O328">
        <v>23</v>
      </c>
      <c r="Q328">
        <v>23</v>
      </c>
      <c r="R328">
        <v>17</v>
      </c>
    </row>
    <row r="329" spans="1:23">
      <c r="A329">
        <v>328</v>
      </c>
      <c r="B329" s="1">
        <v>45331</v>
      </c>
      <c r="C329" s="1">
        <v>45424</v>
      </c>
      <c r="D329" s="29">
        <f>Tailordata[[#This Row],[DueDate]]-Tailordata[[#This Row],[Date]]</f>
        <v>93</v>
      </c>
      <c r="E329" t="s">
        <v>33</v>
      </c>
      <c r="F329" t="s">
        <v>36</v>
      </c>
      <c r="G329">
        <v>126</v>
      </c>
      <c r="H329" t="s">
        <v>26</v>
      </c>
      <c r="I329">
        <v>14</v>
      </c>
      <c r="J329">
        <v>43</v>
      </c>
      <c r="K329">
        <v>17</v>
      </c>
      <c r="L329">
        <v>15</v>
      </c>
      <c r="M329">
        <v>23</v>
      </c>
      <c r="N329">
        <v>38</v>
      </c>
      <c r="O329">
        <v>14</v>
      </c>
      <c r="Q329">
        <v>19</v>
      </c>
      <c r="R329">
        <v>15</v>
      </c>
    </row>
    <row r="330" spans="1:23">
      <c r="A330">
        <v>329</v>
      </c>
      <c r="B330" s="1">
        <v>45323</v>
      </c>
      <c r="C330" s="1">
        <v>45423</v>
      </c>
      <c r="D330" s="29">
        <f>Tailordata[[#This Row],[DueDate]]-Tailordata[[#This Row],[Date]]</f>
        <v>100</v>
      </c>
      <c r="E330" t="s">
        <v>35</v>
      </c>
      <c r="F330" t="s">
        <v>23</v>
      </c>
      <c r="G330">
        <v>257</v>
      </c>
      <c r="H330" t="s">
        <v>24</v>
      </c>
      <c r="O330">
        <v>14</v>
      </c>
      <c r="P330">
        <v>23</v>
      </c>
      <c r="Q330">
        <v>19</v>
      </c>
      <c r="R330">
        <v>14</v>
      </c>
      <c r="U330">
        <v>16</v>
      </c>
      <c r="V330">
        <v>18</v>
      </c>
      <c r="W330">
        <v>14</v>
      </c>
    </row>
    <row r="331" spans="1:23">
      <c r="A331">
        <v>330</v>
      </c>
      <c r="B331" s="1">
        <v>45376</v>
      </c>
      <c r="C331" s="1">
        <v>45431</v>
      </c>
      <c r="D331" s="29">
        <f>Tailordata[[#This Row],[DueDate]]-Tailordata[[#This Row],[Date]]</f>
        <v>55</v>
      </c>
      <c r="E331" t="s">
        <v>29</v>
      </c>
      <c r="F331" t="s">
        <v>32</v>
      </c>
      <c r="G331">
        <v>347</v>
      </c>
      <c r="H331" t="s">
        <v>31</v>
      </c>
      <c r="O331">
        <v>24</v>
      </c>
      <c r="Q331">
        <v>18</v>
      </c>
      <c r="R331">
        <v>20</v>
      </c>
      <c r="S331">
        <v>17</v>
      </c>
      <c r="T331">
        <v>21</v>
      </c>
      <c r="U331">
        <v>15</v>
      </c>
    </row>
    <row r="332" spans="1:23">
      <c r="A332">
        <v>331</v>
      </c>
      <c r="B332" s="1">
        <v>45322</v>
      </c>
      <c r="C332" s="1">
        <v>45415</v>
      </c>
      <c r="D332" s="29">
        <f>Tailordata[[#This Row],[DueDate]]-Tailordata[[#This Row],[Date]]</f>
        <v>93</v>
      </c>
      <c r="E332" t="s">
        <v>35</v>
      </c>
      <c r="F332" t="s">
        <v>36</v>
      </c>
      <c r="G332">
        <v>184</v>
      </c>
      <c r="H332" t="s">
        <v>34</v>
      </c>
      <c r="O332">
        <v>18</v>
      </c>
      <c r="P332">
        <v>17</v>
      </c>
      <c r="Q332">
        <v>23</v>
      </c>
      <c r="R332">
        <v>23</v>
      </c>
      <c r="U332">
        <v>22</v>
      </c>
      <c r="V332">
        <v>19</v>
      </c>
      <c r="W332">
        <v>18</v>
      </c>
    </row>
    <row r="333" spans="1:23">
      <c r="A333">
        <v>332</v>
      </c>
      <c r="B333" s="1">
        <v>45297</v>
      </c>
      <c r="C333" s="1">
        <v>45435</v>
      </c>
      <c r="D333" s="29">
        <f>Tailordata[[#This Row],[DueDate]]-Tailordata[[#This Row],[Date]]</f>
        <v>138</v>
      </c>
      <c r="E333" t="s">
        <v>35</v>
      </c>
      <c r="F333" t="s">
        <v>36</v>
      </c>
      <c r="G333">
        <v>262</v>
      </c>
      <c r="H333" t="s">
        <v>31</v>
      </c>
      <c r="O333">
        <v>19</v>
      </c>
      <c r="P333">
        <v>24</v>
      </c>
      <c r="Q333">
        <v>22</v>
      </c>
      <c r="R333">
        <v>16</v>
      </c>
      <c r="U333">
        <v>21</v>
      </c>
      <c r="V333">
        <v>19</v>
      </c>
      <c r="W333">
        <v>19</v>
      </c>
    </row>
    <row r="334" spans="1:23">
      <c r="A334">
        <v>333</v>
      </c>
      <c r="B334" s="1">
        <v>45301</v>
      </c>
      <c r="C334" s="1">
        <v>45438</v>
      </c>
      <c r="D334" s="29">
        <f>Tailordata[[#This Row],[DueDate]]-Tailordata[[#This Row],[Date]]</f>
        <v>137</v>
      </c>
      <c r="E334" t="s">
        <v>27</v>
      </c>
      <c r="F334" t="s">
        <v>36</v>
      </c>
      <c r="G334">
        <v>251</v>
      </c>
      <c r="H334" t="s">
        <v>31</v>
      </c>
      <c r="I334">
        <v>22</v>
      </c>
      <c r="J334">
        <v>20</v>
      </c>
      <c r="K334">
        <v>18</v>
      </c>
      <c r="L334">
        <v>23</v>
      </c>
      <c r="N334">
        <v>34</v>
      </c>
      <c r="O334">
        <v>16</v>
      </c>
      <c r="P334">
        <v>14</v>
      </c>
    </row>
    <row r="335" spans="1:23">
      <c r="A335">
        <v>334</v>
      </c>
      <c r="B335" s="1">
        <v>45349</v>
      </c>
      <c r="C335" s="1">
        <v>45411</v>
      </c>
      <c r="D335" s="29">
        <f>Tailordata[[#This Row],[DueDate]]-Tailordata[[#This Row],[Date]]</f>
        <v>62</v>
      </c>
      <c r="E335" t="s">
        <v>27</v>
      </c>
      <c r="F335" t="s">
        <v>36</v>
      </c>
      <c r="G335">
        <v>176</v>
      </c>
      <c r="H335" t="s">
        <v>34</v>
      </c>
      <c r="I335">
        <v>18</v>
      </c>
      <c r="J335">
        <v>28</v>
      </c>
      <c r="K335">
        <v>20</v>
      </c>
      <c r="L335">
        <v>19</v>
      </c>
      <c r="N335">
        <v>25</v>
      </c>
      <c r="O335">
        <v>16</v>
      </c>
      <c r="P335">
        <v>16</v>
      </c>
    </row>
    <row r="336" spans="1:23">
      <c r="A336">
        <v>335</v>
      </c>
      <c r="B336" s="1">
        <v>45310</v>
      </c>
      <c r="C336" s="1">
        <v>45439</v>
      </c>
      <c r="D336" s="29">
        <f>Tailordata[[#This Row],[DueDate]]-Tailordata[[#This Row],[Date]]</f>
        <v>129</v>
      </c>
      <c r="E336" t="s">
        <v>33</v>
      </c>
      <c r="F336" t="s">
        <v>25</v>
      </c>
      <c r="G336">
        <v>202</v>
      </c>
      <c r="H336" t="s">
        <v>31</v>
      </c>
      <c r="I336">
        <v>17</v>
      </c>
      <c r="J336">
        <v>36</v>
      </c>
      <c r="K336">
        <v>17</v>
      </c>
      <c r="L336">
        <v>22</v>
      </c>
      <c r="M336">
        <v>17</v>
      </c>
      <c r="N336">
        <v>42</v>
      </c>
      <c r="O336">
        <v>19</v>
      </c>
      <c r="Q336">
        <v>14</v>
      </c>
      <c r="R336">
        <v>14</v>
      </c>
    </row>
    <row r="337" spans="1:23">
      <c r="A337">
        <v>336</v>
      </c>
      <c r="B337" s="1">
        <v>45312</v>
      </c>
      <c r="C337" s="1">
        <v>45422</v>
      </c>
      <c r="D337" s="29">
        <f>Tailordata[[#This Row],[DueDate]]-Tailordata[[#This Row],[Date]]</f>
        <v>110</v>
      </c>
      <c r="E337" t="s">
        <v>22</v>
      </c>
      <c r="F337" t="s">
        <v>23</v>
      </c>
      <c r="G337">
        <v>234</v>
      </c>
      <c r="H337" t="s">
        <v>34</v>
      </c>
      <c r="I337">
        <v>16</v>
      </c>
      <c r="J337">
        <v>25</v>
      </c>
      <c r="K337">
        <v>23</v>
      </c>
      <c r="L337">
        <v>14</v>
      </c>
      <c r="M337">
        <v>19</v>
      </c>
    </row>
    <row r="338" spans="1:23">
      <c r="A338">
        <v>337</v>
      </c>
      <c r="B338" s="1">
        <v>45347</v>
      </c>
      <c r="C338" s="1">
        <v>45427</v>
      </c>
      <c r="D338" s="29">
        <f>Tailordata[[#This Row],[DueDate]]-Tailordata[[#This Row],[Date]]</f>
        <v>80</v>
      </c>
      <c r="E338" t="s">
        <v>29</v>
      </c>
      <c r="F338" t="s">
        <v>32</v>
      </c>
      <c r="G338">
        <v>89</v>
      </c>
      <c r="H338" t="s">
        <v>34</v>
      </c>
      <c r="O338">
        <v>22</v>
      </c>
      <c r="Q338">
        <v>22</v>
      </c>
      <c r="R338">
        <v>21</v>
      </c>
      <c r="S338">
        <v>19</v>
      </c>
      <c r="T338">
        <v>23</v>
      </c>
      <c r="U338">
        <v>16</v>
      </c>
    </row>
    <row r="339" spans="1:23">
      <c r="A339">
        <v>338</v>
      </c>
      <c r="B339" s="1">
        <v>45295</v>
      </c>
      <c r="C339" s="1">
        <v>45437</v>
      </c>
      <c r="D339" s="29">
        <f>Tailordata[[#This Row],[DueDate]]-Tailordata[[#This Row],[Date]]</f>
        <v>142</v>
      </c>
      <c r="E339" t="s">
        <v>33</v>
      </c>
      <c r="F339" t="s">
        <v>30</v>
      </c>
      <c r="G339">
        <v>152</v>
      </c>
      <c r="H339" t="s">
        <v>28</v>
      </c>
      <c r="I339">
        <v>18</v>
      </c>
      <c r="J339">
        <v>30</v>
      </c>
      <c r="K339">
        <v>21</v>
      </c>
      <c r="L339">
        <v>17</v>
      </c>
      <c r="M339">
        <v>18</v>
      </c>
      <c r="N339">
        <v>46</v>
      </c>
      <c r="O339">
        <v>17</v>
      </c>
      <c r="Q339">
        <v>21</v>
      </c>
      <c r="R339">
        <v>15</v>
      </c>
    </row>
    <row r="340" spans="1:23">
      <c r="A340">
        <v>339</v>
      </c>
      <c r="B340" s="1">
        <v>45366</v>
      </c>
      <c r="C340" s="1">
        <v>45438</v>
      </c>
      <c r="D340" s="29">
        <f>Tailordata[[#This Row],[DueDate]]-Tailordata[[#This Row],[Date]]</f>
        <v>72</v>
      </c>
      <c r="E340" t="s">
        <v>35</v>
      </c>
      <c r="F340" t="s">
        <v>32</v>
      </c>
      <c r="G340">
        <v>284</v>
      </c>
      <c r="H340" t="s">
        <v>34</v>
      </c>
      <c r="O340">
        <v>19</v>
      </c>
      <c r="P340">
        <v>21</v>
      </c>
      <c r="Q340">
        <v>24</v>
      </c>
      <c r="R340">
        <v>17</v>
      </c>
      <c r="U340">
        <v>16</v>
      </c>
      <c r="V340">
        <v>19</v>
      </c>
      <c r="W340">
        <v>21</v>
      </c>
    </row>
    <row r="341" spans="1:23">
      <c r="A341">
        <v>340</v>
      </c>
      <c r="B341" s="1">
        <v>45351</v>
      </c>
      <c r="C341" s="1">
        <v>45439</v>
      </c>
      <c r="D341" s="29">
        <f>Tailordata[[#This Row],[DueDate]]-Tailordata[[#This Row],[Date]]</f>
        <v>88</v>
      </c>
      <c r="E341" t="s">
        <v>35</v>
      </c>
      <c r="F341" t="s">
        <v>23</v>
      </c>
      <c r="G341">
        <v>326</v>
      </c>
      <c r="H341" t="s">
        <v>31</v>
      </c>
      <c r="O341">
        <v>21</v>
      </c>
      <c r="P341">
        <v>24</v>
      </c>
      <c r="Q341">
        <v>20</v>
      </c>
      <c r="R341">
        <v>17</v>
      </c>
      <c r="U341">
        <v>21</v>
      </c>
      <c r="V341">
        <v>15</v>
      </c>
      <c r="W341">
        <v>15</v>
      </c>
    </row>
    <row r="342" spans="1:23">
      <c r="A342">
        <v>341</v>
      </c>
      <c r="B342" s="1">
        <v>45320</v>
      </c>
      <c r="C342" s="1">
        <v>45420</v>
      </c>
      <c r="D342" s="29">
        <f>Tailordata[[#This Row],[DueDate]]-Tailordata[[#This Row],[Date]]</f>
        <v>100</v>
      </c>
      <c r="E342" t="s">
        <v>29</v>
      </c>
      <c r="F342" t="s">
        <v>32</v>
      </c>
      <c r="G342">
        <v>465</v>
      </c>
      <c r="H342" t="s">
        <v>31</v>
      </c>
      <c r="O342">
        <v>18</v>
      </c>
      <c r="Q342">
        <v>15</v>
      </c>
      <c r="R342">
        <v>21</v>
      </c>
      <c r="S342">
        <v>15</v>
      </c>
      <c r="T342">
        <v>21</v>
      </c>
      <c r="U342">
        <v>23</v>
      </c>
    </row>
    <row r="343" spans="1:23">
      <c r="A343">
        <v>342</v>
      </c>
      <c r="B343" s="1">
        <v>45328</v>
      </c>
      <c r="C343" s="1">
        <v>45428</v>
      </c>
      <c r="D343" s="29">
        <f>Tailordata[[#This Row],[DueDate]]-Tailordata[[#This Row],[Date]]</f>
        <v>100</v>
      </c>
      <c r="E343" t="s">
        <v>27</v>
      </c>
      <c r="F343" t="s">
        <v>23</v>
      </c>
      <c r="G343">
        <v>381</v>
      </c>
      <c r="H343" t="s">
        <v>31</v>
      </c>
      <c r="I343">
        <v>18</v>
      </c>
      <c r="J343">
        <v>28</v>
      </c>
      <c r="K343">
        <v>20</v>
      </c>
      <c r="L343">
        <v>14</v>
      </c>
      <c r="N343">
        <v>34</v>
      </c>
      <c r="O343">
        <v>21</v>
      </c>
      <c r="P343">
        <v>20</v>
      </c>
    </row>
    <row r="344" spans="1:23">
      <c r="A344">
        <v>343</v>
      </c>
      <c r="B344" s="1">
        <v>45397</v>
      </c>
      <c r="C344" s="1">
        <v>45435</v>
      </c>
      <c r="D344" s="29">
        <f>Tailordata[[#This Row],[DueDate]]-Tailordata[[#This Row],[Date]]</f>
        <v>38</v>
      </c>
      <c r="E344" t="s">
        <v>27</v>
      </c>
      <c r="F344" t="s">
        <v>25</v>
      </c>
      <c r="G344">
        <v>111</v>
      </c>
      <c r="H344" t="s">
        <v>34</v>
      </c>
      <c r="I344">
        <v>15</v>
      </c>
      <c r="J344">
        <v>26</v>
      </c>
      <c r="K344">
        <v>21</v>
      </c>
      <c r="L344">
        <v>17</v>
      </c>
      <c r="N344">
        <v>44</v>
      </c>
      <c r="O344">
        <v>24</v>
      </c>
      <c r="P344">
        <v>21</v>
      </c>
    </row>
    <row r="345" spans="1:23">
      <c r="A345">
        <v>344</v>
      </c>
      <c r="B345" s="1">
        <v>45301</v>
      </c>
      <c r="C345" s="1">
        <v>45437</v>
      </c>
      <c r="D345" s="29">
        <f>Tailordata[[#This Row],[DueDate]]-Tailordata[[#This Row],[Date]]</f>
        <v>136</v>
      </c>
      <c r="E345" t="s">
        <v>29</v>
      </c>
      <c r="F345" t="s">
        <v>25</v>
      </c>
      <c r="G345">
        <v>417</v>
      </c>
      <c r="H345" t="s">
        <v>31</v>
      </c>
      <c r="O345">
        <v>15</v>
      </c>
      <c r="Q345">
        <v>15</v>
      </c>
      <c r="R345">
        <v>23</v>
      </c>
      <c r="S345">
        <v>19</v>
      </c>
      <c r="T345">
        <v>16</v>
      </c>
      <c r="U345">
        <v>22</v>
      </c>
    </row>
    <row r="346" spans="1:23">
      <c r="A346">
        <v>345</v>
      </c>
      <c r="B346" s="1">
        <v>45343</v>
      </c>
      <c r="C346" s="1">
        <v>45418</v>
      </c>
      <c r="D346" s="29">
        <f>Tailordata[[#This Row],[DueDate]]-Tailordata[[#This Row],[Date]]</f>
        <v>75</v>
      </c>
      <c r="E346" t="s">
        <v>27</v>
      </c>
      <c r="F346" t="s">
        <v>32</v>
      </c>
      <c r="G346">
        <v>70</v>
      </c>
      <c r="H346" t="s">
        <v>28</v>
      </c>
      <c r="I346">
        <v>22</v>
      </c>
      <c r="J346">
        <v>28</v>
      </c>
      <c r="K346">
        <v>24</v>
      </c>
      <c r="L346">
        <v>22</v>
      </c>
      <c r="N346">
        <v>41</v>
      </c>
      <c r="O346">
        <v>16</v>
      </c>
      <c r="P346">
        <v>17</v>
      </c>
    </row>
    <row r="347" spans="1:23">
      <c r="A347">
        <v>346</v>
      </c>
      <c r="B347" s="1">
        <v>45303</v>
      </c>
      <c r="C347" s="1">
        <v>45426</v>
      </c>
      <c r="D347" s="29">
        <f>Tailordata[[#This Row],[DueDate]]-Tailordata[[#This Row],[Date]]</f>
        <v>123</v>
      </c>
      <c r="E347" t="s">
        <v>29</v>
      </c>
      <c r="F347" t="s">
        <v>25</v>
      </c>
      <c r="G347">
        <v>175</v>
      </c>
      <c r="H347" t="s">
        <v>34</v>
      </c>
      <c r="O347">
        <v>15</v>
      </c>
      <c r="Q347">
        <v>15</v>
      </c>
      <c r="R347">
        <v>15</v>
      </c>
      <c r="S347">
        <v>24</v>
      </c>
      <c r="T347">
        <v>23</v>
      </c>
      <c r="U347">
        <v>15</v>
      </c>
    </row>
    <row r="348" spans="1:23">
      <c r="A348">
        <v>347</v>
      </c>
      <c r="B348" s="1">
        <v>45400</v>
      </c>
      <c r="C348" s="1">
        <v>45433</v>
      </c>
      <c r="D348" s="29">
        <f>Tailordata[[#This Row],[DueDate]]-Tailordata[[#This Row],[Date]]</f>
        <v>33</v>
      </c>
      <c r="E348" t="s">
        <v>35</v>
      </c>
      <c r="F348" t="s">
        <v>32</v>
      </c>
      <c r="G348">
        <v>133</v>
      </c>
      <c r="H348" t="s">
        <v>34</v>
      </c>
      <c r="O348">
        <v>17</v>
      </c>
      <c r="P348">
        <v>22</v>
      </c>
      <c r="Q348">
        <v>22</v>
      </c>
      <c r="R348">
        <v>23</v>
      </c>
      <c r="U348">
        <v>21</v>
      </c>
      <c r="V348">
        <v>18</v>
      </c>
      <c r="W348">
        <v>17</v>
      </c>
    </row>
    <row r="349" spans="1:23">
      <c r="A349">
        <v>348</v>
      </c>
      <c r="B349" s="1">
        <v>45405</v>
      </c>
      <c r="C349" s="1">
        <v>45418</v>
      </c>
      <c r="D349" s="29">
        <f>Tailordata[[#This Row],[DueDate]]-Tailordata[[#This Row],[Date]]</f>
        <v>13</v>
      </c>
      <c r="E349" t="s">
        <v>27</v>
      </c>
      <c r="F349" t="s">
        <v>30</v>
      </c>
      <c r="G349">
        <v>430</v>
      </c>
      <c r="H349" t="s">
        <v>34</v>
      </c>
      <c r="I349">
        <v>18</v>
      </c>
      <c r="J349">
        <v>29</v>
      </c>
      <c r="K349">
        <v>18</v>
      </c>
      <c r="L349">
        <v>14</v>
      </c>
      <c r="N349">
        <v>47</v>
      </c>
      <c r="O349">
        <v>14</v>
      </c>
      <c r="P349">
        <v>15</v>
      </c>
    </row>
    <row r="350" spans="1:23">
      <c r="A350">
        <v>349</v>
      </c>
      <c r="B350" s="1">
        <v>45357</v>
      </c>
      <c r="C350" s="1">
        <v>45439</v>
      </c>
      <c r="D350" s="29">
        <f>Tailordata[[#This Row],[DueDate]]-Tailordata[[#This Row],[Date]]</f>
        <v>82</v>
      </c>
      <c r="E350" t="s">
        <v>27</v>
      </c>
      <c r="F350" t="s">
        <v>32</v>
      </c>
      <c r="G350">
        <v>145</v>
      </c>
      <c r="H350" t="s">
        <v>28</v>
      </c>
      <c r="I350">
        <v>24</v>
      </c>
      <c r="J350">
        <v>31</v>
      </c>
      <c r="K350">
        <v>21</v>
      </c>
      <c r="L350">
        <v>19</v>
      </c>
      <c r="N350">
        <v>20</v>
      </c>
      <c r="O350">
        <v>20</v>
      </c>
      <c r="P350">
        <v>14</v>
      </c>
    </row>
    <row r="351" spans="1:23">
      <c r="A351">
        <v>350</v>
      </c>
      <c r="B351" s="1">
        <v>45348</v>
      </c>
      <c r="C351" s="1">
        <v>45421</v>
      </c>
      <c r="D351" s="29">
        <f>Tailordata[[#This Row],[DueDate]]-Tailordata[[#This Row],[Date]]</f>
        <v>73</v>
      </c>
      <c r="E351" t="s">
        <v>22</v>
      </c>
      <c r="F351" t="s">
        <v>25</v>
      </c>
      <c r="G351">
        <v>240</v>
      </c>
      <c r="H351" t="s">
        <v>34</v>
      </c>
      <c r="I351">
        <v>17</v>
      </c>
      <c r="J351">
        <v>25</v>
      </c>
      <c r="K351">
        <v>21</v>
      </c>
      <c r="L351">
        <v>18</v>
      </c>
      <c r="M351">
        <v>17</v>
      </c>
    </row>
    <row r="352" spans="1:23">
      <c r="A352">
        <v>351</v>
      </c>
      <c r="B352" s="1">
        <v>45359</v>
      </c>
      <c r="C352" s="1">
        <v>45433</v>
      </c>
      <c r="D352" s="29">
        <f>Tailordata[[#This Row],[DueDate]]-Tailordata[[#This Row],[Date]]</f>
        <v>74</v>
      </c>
      <c r="E352" t="s">
        <v>27</v>
      </c>
      <c r="F352" t="s">
        <v>25</v>
      </c>
      <c r="G352">
        <v>164</v>
      </c>
      <c r="H352" t="s">
        <v>24</v>
      </c>
      <c r="I352">
        <v>21</v>
      </c>
      <c r="J352">
        <v>22</v>
      </c>
      <c r="K352">
        <v>21</v>
      </c>
      <c r="L352">
        <v>21</v>
      </c>
      <c r="N352">
        <v>21</v>
      </c>
      <c r="O352">
        <v>21</v>
      </c>
      <c r="P352">
        <v>22</v>
      </c>
    </row>
    <row r="353" spans="1:23">
      <c r="A353">
        <v>352</v>
      </c>
      <c r="B353" s="1">
        <v>45308</v>
      </c>
      <c r="C353" s="1">
        <v>45421</v>
      </c>
      <c r="D353" s="29">
        <f>Tailordata[[#This Row],[DueDate]]-Tailordata[[#This Row],[Date]]</f>
        <v>113</v>
      </c>
      <c r="E353" t="s">
        <v>35</v>
      </c>
      <c r="F353" t="s">
        <v>32</v>
      </c>
      <c r="G353">
        <v>73</v>
      </c>
      <c r="H353" t="s">
        <v>34</v>
      </c>
      <c r="O353">
        <v>19</v>
      </c>
      <c r="P353">
        <v>23</v>
      </c>
      <c r="Q353">
        <v>18</v>
      </c>
      <c r="R353">
        <v>14</v>
      </c>
      <c r="U353">
        <v>14</v>
      </c>
      <c r="V353">
        <v>22</v>
      </c>
      <c r="W353">
        <v>24</v>
      </c>
    </row>
    <row r="354" spans="1:23">
      <c r="A354">
        <v>353</v>
      </c>
      <c r="B354" s="1">
        <v>45349</v>
      </c>
      <c r="C354" s="1">
        <v>45438</v>
      </c>
      <c r="D354" s="29">
        <f>Tailordata[[#This Row],[DueDate]]-Tailordata[[#This Row],[Date]]</f>
        <v>89</v>
      </c>
      <c r="E354" t="s">
        <v>27</v>
      </c>
      <c r="F354" t="s">
        <v>30</v>
      </c>
      <c r="G354">
        <v>395</v>
      </c>
      <c r="H354" t="s">
        <v>26</v>
      </c>
      <c r="I354">
        <v>20</v>
      </c>
      <c r="J354">
        <v>38</v>
      </c>
      <c r="K354">
        <v>15</v>
      </c>
      <c r="L354">
        <v>18</v>
      </c>
      <c r="N354">
        <v>46</v>
      </c>
      <c r="O354">
        <v>18</v>
      </c>
      <c r="P354">
        <v>16</v>
      </c>
    </row>
    <row r="355" spans="1:23">
      <c r="A355">
        <v>354</v>
      </c>
      <c r="B355" s="1">
        <v>45300</v>
      </c>
      <c r="C355" s="1">
        <v>45439</v>
      </c>
      <c r="D355" s="29">
        <f>Tailordata[[#This Row],[DueDate]]-Tailordata[[#This Row],[Date]]</f>
        <v>139</v>
      </c>
      <c r="E355" t="s">
        <v>27</v>
      </c>
      <c r="F355" t="s">
        <v>36</v>
      </c>
      <c r="G355">
        <v>145</v>
      </c>
      <c r="H355" t="s">
        <v>31</v>
      </c>
      <c r="I355">
        <v>21</v>
      </c>
      <c r="J355">
        <v>27</v>
      </c>
      <c r="K355">
        <v>20</v>
      </c>
      <c r="L355">
        <v>15</v>
      </c>
      <c r="N355">
        <v>33</v>
      </c>
      <c r="O355">
        <v>23</v>
      </c>
      <c r="P355">
        <v>23</v>
      </c>
    </row>
    <row r="356" spans="1:23">
      <c r="A356">
        <v>355</v>
      </c>
      <c r="B356" s="1">
        <v>45364</v>
      </c>
      <c r="C356" s="1">
        <v>45428</v>
      </c>
      <c r="D356" s="29">
        <f>Tailordata[[#This Row],[DueDate]]-Tailordata[[#This Row],[Date]]</f>
        <v>64</v>
      </c>
      <c r="E356" t="s">
        <v>27</v>
      </c>
      <c r="F356" t="s">
        <v>23</v>
      </c>
      <c r="G356">
        <v>480</v>
      </c>
      <c r="H356" t="s">
        <v>24</v>
      </c>
      <c r="I356">
        <v>14</v>
      </c>
      <c r="J356">
        <v>50</v>
      </c>
      <c r="K356">
        <v>18</v>
      </c>
      <c r="L356">
        <v>16</v>
      </c>
      <c r="N356">
        <v>24</v>
      </c>
      <c r="O356">
        <v>23</v>
      </c>
      <c r="P356">
        <v>23</v>
      </c>
    </row>
    <row r="357" spans="1:23">
      <c r="A357">
        <v>356</v>
      </c>
      <c r="B357" s="1">
        <v>45361</v>
      </c>
      <c r="C357" s="1">
        <v>45431</v>
      </c>
      <c r="D357" s="29">
        <f>Tailordata[[#This Row],[DueDate]]-Tailordata[[#This Row],[Date]]</f>
        <v>70</v>
      </c>
      <c r="E357" t="s">
        <v>35</v>
      </c>
      <c r="F357" t="s">
        <v>23</v>
      </c>
      <c r="G357">
        <v>181</v>
      </c>
      <c r="H357" t="s">
        <v>24</v>
      </c>
      <c r="O357">
        <v>17</v>
      </c>
      <c r="P357">
        <v>19</v>
      </c>
      <c r="Q357">
        <v>18</v>
      </c>
      <c r="R357">
        <v>14</v>
      </c>
      <c r="U357">
        <v>19</v>
      </c>
      <c r="V357">
        <v>22</v>
      </c>
      <c r="W357">
        <v>15</v>
      </c>
    </row>
    <row r="358" spans="1:23">
      <c r="A358">
        <v>357</v>
      </c>
      <c r="B358" s="1">
        <v>45343</v>
      </c>
      <c r="C358" s="1">
        <v>45419</v>
      </c>
      <c r="D358" s="29">
        <f>Tailordata[[#This Row],[DueDate]]-Tailordata[[#This Row],[Date]]</f>
        <v>76</v>
      </c>
      <c r="E358" t="s">
        <v>22</v>
      </c>
      <c r="F358" t="s">
        <v>25</v>
      </c>
      <c r="G358">
        <v>377</v>
      </c>
      <c r="H358" t="s">
        <v>34</v>
      </c>
      <c r="I358">
        <v>16</v>
      </c>
      <c r="J358">
        <v>27</v>
      </c>
      <c r="K358">
        <v>15</v>
      </c>
      <c r="L358">
        <v>17</v>
      </c>
      <c r="M358">
        <v>15</v>
      </c>
    </row>
    <row r="359" spans="1:23">
      <c r="A359">
        <v>358</v>
      </c>
      <c r="B359" s="1">
        <v>45380</v>
      </c>
      <c r="C359" s="1">
        <v>45411</v>
      </c>
      <c r="D359" s="29">
        <f>Tailordata[[#This Row],[DueDate]]-Tailordata[[#This Row],[Date]]</f>
        <v>31</v>
      </c>
      <c r="E359" t="s">
        <v>29</v>
      </c>
      <c r="F359" t="s">
        <v>23</v>
      </c>
      <c r="G359">
        <v>74</v>
      </c>
      <c r="H359" t="s">
        <v>24</v>
      </c>
      <c r="O359">
        <v>23</v>
      </c>
      <c r="Q359">
        <v>23</v>
      </c>
      <c r="R359">
        <v>15</v>
      </c>
      <c r="S359">
        <v>19</v>
      </c>
      <c r="T359">
        <v>15</v>
      </c>
      <c r="U359">
        <v>22</v>
      </c>
    </row>
    <row r="360" spans="1:23">
      <c r="A360">
        <v>359</v>
      </c>
      <c r="B360" s="1">
        <v>45383</v>
      </c>
      <c r="C360" s="1">
        <v>45432</v>
      </c>
      <c r="D360" s="29">
        <f>Tailordata[[#This Row],[DueDate]]-Tailordata[[#This Row],[Date]]</f>
        <v>49</v>
      </c>
      <c r="E360" t="s">
        <v>35</v>
      </c>
      <c r="F360" t="s">
        <v>30</v>
      </c>
      <c r="G360">
        <v>129</v>
      </c>
      <c r="H360" t="s">
        <v>34</v>
      </c>
      <c r="O360">
        <v>17</v>
      </c>
      <c r="P360">
        <v>15</v>
      </c>
      <c r="Q360">
        <v>16</v>
      </c>
      <c r="R360">
        <v>16</v>
      </c>
      <c r="U360">
        <v>15</v>
      </c>
      <c r="V360">
        <v>17</v>
      </c>
      <c r="W360">
        <v>22</v>
      </c>
    </row>
    <row r="361" spans="1:23">
      <c r="A361">
        <v>360</v>
      </c>
      <c r="B361" s="1">
        <v>45292</v>
      </c>
      <c r="C361" s="1">
        <v>45434</v>
      </c>
      <c r="D361" s="29">
        <f>Tailordata[[#This Row],[DueDate]]-Tailordata[[#This Row],[Date]]</f>
        <v>142</v>
      </c>
      <c r="E361" t="s">
        <v>33</v>
      </c>
      <c r="F361" t="s">
        <v>30</v>
      </c>
      <c r="G361">
        <v>265</v>
      </c>
      <c r="H361" t="s">
        <v>26</v>
      </c>
      <c r="I361">
        <v>21</v>
      </c>
      <c r="J361">
        <v>27</v>
      </c>
      <c r="K361">
        <v>18</v>
      </c>
      <c r="L361">
        <v>19</v>
      </c>
      <c r="M361">
        <v>16</v>
      </c>
      <c r="N361">
        <v>27</v>
      </c>
      <c r="O361">
        <v>15</v>
      </c>
      <c r="Q361">
        <v>23</v>
      </c>
      <c r="R361">
        <v>14</v>
      </c>
    </row>
    <row r="362" spans="1:23">
      <c r="A362">
        <v>361</v>
      </c>
      <c r="B362" s="1">
        <v>45373</v>
      </c>
      <c r="C362" s="1">
        <v>45416</v>
      </c>
      <c r="D362" s="29">
        <f>Tailordata[[#This Row],[DueDate]]-Tailordata[[#This Row],[Date]]</f>
        <v>43</v>
      </c>
      <c r="E362" t="s">
        <v>35</v>
      </c>
      <c r="F362" t="s">
        <v>23</v>
      </c>
      <c r="G362">
        <v>388</v>
      </c>
      <c r="H362" t="s">
        <v>28</v>
      </c>
      <c r="O362">
        <v>21</v>
      </c>
      <c r="P362">
        <v>22</v>
      </c>
      <c r="Q362">
        <v>21</v>
      </c>
      <c r="R362">
        <v>16</v>
      </c>
      <c r="U362">
        <v>19</v>
      </c>
      <c r="V362">
        <v>15</v>
      </c>
      <c r="W362">
        <v>18</v>
      </c>
    </row>
    <row r="363" spans="1:23">
      <c r="A363">
        <v>362</v>
      </c>
      <c r="B363" s="1">
        <v>45310</v>
      </c>
      <c r="C363" s="1">
        <v>45416</v>
      </c>
      <c r="D363" s="29">
        <f>Tailordata[[#This Row],[DueDate]]-Tailordata[[#This Row],[Date]]</f>
        <v>106</v>
      </c>
      <c r="E363" t="s">
        <v>35</v>
      </c>
      <c r="F363" t="s">
        <v>30</v>
      </c>
      <c r="G363">
        <v>204</v>
      </c>
      <c r="H363" t="s">
        <v>28</v>
      </c>
      <c r="O363">
        <v>24</v>
      </c>
      <c r="P363">
        <v>20</v>
      </c>
      <c r="Q363">
        <v>24</v>
      </c>
      <c r="R363">
        <v>16</v>
      </c>
      <c r="U363">
        <v>16</v>
      </c>
      <c r="V363">
        <v>16</v>
      </c>
      <c r="W363">
        <v>22</v>
      </c>
    </row>
    <row r="364" spans="1:23">
      <c r="A364">
        <v>363</v>
      </c>
      <c r="B364" s="1">
        <v>45369</v>
      </c>
      <c r="C364" s="1">
        <v>45430</v>
      </c>
      <c r="D364" s="29">
        <f>Tailordata[[#This Row],[DueDate]]-Tailordata[[#This Row],[Date]]</f>
        <v>61</v>
      </c>
      <c r="E364" t="s">
        <v>29</v>
      </c>
      <c r="F364" t="s">
        <v>23</v>
      </c>
      <c r="G364">
        <v>465</v>
      </c>
      <c r="H364" t="s">
        <v>24</v>
      </c>
      <c r="O364">
        <v>20</v>
      </c>
      <c r="Q364">
        <v>22</v>
      </c>
      <c r="R364">
        <v>14</v>
      </c>
      <c r="S364">
        <v>20</v>
      </c>
      <c r="T364">
        <v>23</v>
      </c>
      <c r="U364">
        <v>24</v>
      </c>
    </row>
    <row r="365" spans="1:23">
      <c r="A365">
        <v>364</v>
      </c>
      <c r="B365" s="1">
        <v>45313</v>
      </c>
      <c r="C365" s="1">
        <v>45417</v>
      </c>
      <c r="D365" s="29">
        <f>Tailordata[[#This Row],[DueDate]]-Tailordata[[#This Row],[Date]]</f>
        <v>104</v>
      </c>
      <c r="E365" t="s">
        <v>35</v>
      </c>
      <c r="F365" t="s">
        <v>36</v>
      </c>
      <c r="G365">
        <v>364</v>
      </c>
      <c r="H365" t="s">
        <v>31</v>
      </c>
      <c r="O365">
        <v>17</v>
      </c>
      <c r="P365">
        <v>15</v>
      </c>
      <c r="Q365">
        <v>17</v>
      </c>
      <c r="R365">
        <v>14</v>
      </c>
      <c r="U365">
        <v>22</v>
      </c>
      <c r="V365">
        <v>20</v>
      </c>
      <c r="W365">
        <v>15</v>
      </c>
    </row>
    <row r="366" spans="1:23">
      <c r="A366">
        <v>365</v>
      </c>
      <c r="B366" s="1">
        <v>45341</v>
      </c>
      <c r="C366" s="1">
        <v>45440</v>
      </c>
      <c r="D366" s="29">
        <f>Tailordata[[#This Row],[DueDate]]-Tailordata[[#This Row],[Date]]</f>
        <v>99</v>
      </c>
      <c r="E366" t="s">
        <v>29</v>
      </c>
      <c r="F366" t="s">
        <v>23</v>
      </c>
      <c r="G366">
        <v>250</v>
      </c>
      <c r="H366" t="s">
        <v>24</v>
      </c>
      <c r="O366">
        <v>23</v>
      </c>
      <c r="Q366">
        <v>17</v>
      </c>
      <c r="R366">
        <v>20</v>
      </c>
      <c r="S366">
        <v>19</v>
      </c>
      <c r="T366">
        <v>16</v>
      </c>
      <c r="U366">
        <v>23</v>
      </c>
    </row>
    <row r="367" spans="1:23">
      <c r="A367">
        <v>366</v>
      </c>
      <c r="B367" s="1">
        <v>45329</v>
      </c>
      <c r="C367" s="1">
        <v>45429</v>
      </c>
      <c r="D367" s="29">
        <f>Tailordata[[#This Row],[DueDate]]-Tailordata[[#This Row],[Date]]</f>
        <v>100</v>
      </c>
      <c r="E367" t="s">
        <v>35</v>
      </c>
      <c r="F367" t="s">
        <v>36</v>
      </c>
      <c r="G367">
        <v>498</v>
      </c>
      <c r="H367" t="s">
        <v>26</v>
      </c>
      <c r="O367">
        <v>23</v>
      </c>
      <c r="P367">
        <v>18</v>
      </c>
      <c r="Q367">
        <v>22</v>
      </c>
      <c r="R367">
        <v>16</v>
      </c>
      <c r="U367">
        <v>17</v>
      </c>
      <c r="V367">
        <v>18</v>
      </c>
      <c r="W367">
        <v>19</v>
      </c>
    </row>
    <row r="368" spans="1:23">
      <c r="A368">
        <v>367</v>
      </c>
      <c r="B368" s="1">
        <v>45371</v>
      </c>
      <c r="C368" s="1">
        <v>45415</v>
      </c>
      <c r="D368" s="29">
        <f>Tailordata[[#This Row],[DueDate]]-Tailordata[[#This Row],[Date]]</f>
        <v>44</v>
      </c>
      <c r="E368" t="s">
        <v>27</v>
      </c>
      <c r="F368" t="s">
        <v>25</v>
      </c>
      <c r="G368">
        <v>161</v>
      </c>
      <c r="H368" t="s">
        <v>26</v>
      </c>
      <c r="I368">
        <v>23</v>
      </c>
      <c r="J368">
        <v>43</v>
      </c>
      <c r="K368">
        <v>21</v>
      </c>
      <c r="L368">
        <v>20</v>
      </c>
      <c r="N368">
        <v>29</v>
      </c>
      <c r="O368">
        <v>15</v>
      </c>
      <c r="P368">
        <v>16</v>
      </c>
    </row>
    <row r="369" spans="1:23">
      <c r="A369">
        <v>368</v>
      </c>
      <c r="B369" s="1">
        <v>45394</v>
      </c>
      <c r="C369" s="1">
        <v>45419</v>
      </c>
      <c r="D369" s="29">
        <f>Tailordata[[#This Row],[DueDate]]-Tailordata[[#This Row],[Date]]</f>
        <v>25</v>
      </c>
      <c r="E369" t="s">
        <v>22</v>
      </c>
      <c r="F369" t="s">
        <v>25</v>
      </c>
      <c r="G369">
        <v>179</v>
      </c>
      <c r="H369" t="s">
        <v>26</v>
      </c>
      <c r="I369">
        <v>17</v>
      </c>
      <c r="J369">
        <v>48</v>
      </c>
      <c r="K369">
        <v>19</v>
      </c>
      <c r="L369">
        <v>20</v>
      </c>
      <c r="M369">
        <v>16</v>
      </c>
    </row>
    <row r="370" spans="1:23">
      <c r="A370">
        <v>369</v>
      </c>
      <c r="B370" s="1">
        <v>45377</v>
      </c>
      <c r="C370" s="1">
        <v>45412</v>
      </c>
      <c r="D370" s="29">
        <f>Tailordata[[#This Row],[DueDate]]-Tailordata[[#This Row],[Date]]</f>
        <v>35</v>
      </c>
      <c r="E370" t="s">
        <v>22</v>
      </c>
      <c r="F370" t="s">
        <v>36</v>
      </c>
      <c r="G370">
        <v>275</v>
      </c>
      <c r="H370" t="s">
        <v>24</v>
      </c>
      <c r="I370">
        <v>23</v>
      </c>
      <c r="J370">
        <v>47</v>
      </c>
      <c r="K370">
        <v>21</v>
      </c>
      <c r="L370">
        <v>22</v>
      </c>
      <c r="M370">
        <v>24</v>
      </c>
    </row>
    <row r="371" spans="1:23">
      <c r="A371">
        <v>370</v>
      </c>
      <c r="B371" s="1">
        <v>45299</v>
      </c>
      <c r="C371" s="1">
        <v>45425</v>
      </c>
      <c r="D371" s="29">
        <f>Tailordata[[#This Row],[DueDate]]-Tailordata[[#This Row],[Date]]</f>
        <v>126</v>
      </c>
      <c r="E371" t="s">
        <v>33</v>
      </c>
      <c r="F371" t="s">
        <v>36</v>
      </c>
      <c r="G371">
        <v>172</v>
      </c>
      <c r="H371" t="s">
        <v>34</v>
      </c>
      <c r="I371">
        <v>23</v>
      </c>
      <c r="J371">
        <v>49</v>
      </c>
      <c r="K371">
        <v>22</v>
      </c>
      <c r="L371">
        <v>14</v>
      </c>
      <c r="M371">
        <v>19</v>
      </c>
      <c r="N371">
        <v>41</v>
      </c>
      <c r="O371">
        <v>14</v>
      </c>
      <c r="Q371">
        <v>18</v>
      </c>
      <c r="R371">
        <v>15</v>
      </c>
    </row>
    <row r="372" spans="1:23">
      <c r="A372">
        <v>371</v>
      </c>
      <c r="B372" s="1">
        <v>45377</v>
      </c>
      <c r="C372" s="1">
        <v>45417</v>
      </c>
      <c r="D372" s="29">
        <f>Tailordata[[#This Row],[DueDate]]-Tailordata[[#This Row],[Date]]</f>
        <v>40</v>
      </c>
      <c r="E372" t="s">
        <v>35</v>
      </c>
      <c r="F372" t="s">
        <v>30</v>
      </c>
      <c r="G372">
        <v>193</v>
      </c>
      <c r="H372" t="s">
        <v>26</v>
      </c>
      <c r="O372">
        <v>15</v>
      </c>
      <c r="P372">
        <v>18</v>
      </c>
      <c r="Q372">
        <v>23</v>
      </c>
      <c r="R372">
        <v>20</v>
      </c>
      <c r="U372">
        <v>22</v>
      </c>
      <c r="V372">
        <v>24</v>
      </c>
      <c r="W372">
        <v>14</v>
      </c>
    </row>
    <row r="373" spans="1:23">
      <c r="A373">
        <v>372</v>
      </c>
      <c r="B373" s="1">
        <v>45361</v>
      </c>
      <c r="C373" s="1">
        <v>45417</v>
      </c>
      <c r="D373" s="29">
        <f>Tailordata[[#This Row],[DueDate]]-Tailordata[[#This Row],[Date]]</f>
        <v>56</v>
      </c>
      <c r="E373" t="s">
        <v>22</v>
      </c>
      <c r="F373" t="s">
        <v>25</v>
      </c>
      <c r="G373">
        <v>96</v>
      </c>
      <c r="H373" t="s">
        <v>24</v>
      </c>
      <c r="I373">
        <v>24</v>
      </c>
      <c r="J373">
        <v>49</v>
      </c>
      <c r="K373">
        <v>17</v>
      </c>
      <c r="L373">
        <v>23</v>
      </c>
      <c r="M373">
        <v>18</v>
      </c>
    </row>
    <row r="374" spans="1:23">
      <c r="A374">
        <v>373</v>
      </c>
      <c r="B374" s="1">
        <v>45296</v>
      </c>
      <c r="C374" s="1">
        <v>45440</v>
      </c>
      <c r="D374" s="29">
        <f>Tailordata[[#This Row],[DueDate]]-Tailordata[[#This Row],[Date]]</f>
        <v>144</v>
      </c>
      <c r="E374" t="s">
        <v>29</v>
      </c>
      <c r="F374" t="s">
        <v>23</v>
      </c>
      <c r="G374">
        <v>385</v>
      </c>
      <c r="H374" t="s">
        <v>28</v>
      </c>
      <c r="O374">
        <v>21</v>
      </c>
      <c r="Q374">
        <v>15</v>
      </c>
      <c r="R374">
        <v>15</v>
      </c>
      <c r="S374">
        <v>20</v>
      </c>
      <c r="T374">
        <v>16</v>
      </c>
      <c r="U374">
        <v>21</v>
      </c>
    </row>
    <row r="375" spans="1:23">
      <c r="A375">
        <v>374</v>
      </c>
      <c r="B375" s="1">
        <v>45366</v>
      </c>
      <c r="C375" s="1">
        <v>45422</v>
      </c>
      <c r="D375" s="29">
        <f>Tailordata[[#This Row],[DueDate]]-Tailordata[[#This Row],[Date]]</f>
        <v>56</v>
      </c>
      <c r="E375" t="s">
        <v>22</v>
      </c>
      <c r="F375" t="s">
        <v>25</v>
      </c>
      <c r="G375">
        <v>269</v>
      </c>
      <c r="H375" t="s">
        <v>31</v>
      </c>
      <c r="I375">
        <v>22</v>
      </c>
      <c r="J375">
        <v>28</v>
      </c>
      <c r="K375">
        <v>21</v>
      </c>
      <c r="L375">
        <v>22</v>
      </c>
      <c r="M375">
        <v>24</v>
      </c>
    </row>
    <row r="376" spans="1:23">
      <c r="A376">
        <v>375</v>
      </c>
      <c r="B376" s="1">
        <v>45327</v>
      </c>
      <c r="C376" s="1">
        <v>45412</v>
      </c>
      <c r="D376" s="29">
        <f>Tailordata[[#This Row],[DueDate]]-Tailordata[[#This Row],[Date]]</f>
        <v>85</v>
      </c>
      <c r="E376" t="s">
        <v>27</v>
      </c>
      <c r="F376" t="s">
        <v>25</v>
      </c>
      <c r="G376">
        <v>287</v>
      </c>
      <c r="H376" t="s">
        <v>24</v>
      </c>
      <c r="I376">
        <v>19</v>
      </c>
      <c r="J376">
        <v>41</v>
      </c>
      <c r="K376">
        <v>24</v>
      </c>
      <c r="L376">
        <v>15</v>
      </c>
      <c r="N376">
        <v>29</v>
      </c>
      <c r="O376">
        <v>21</v>
      </c>
      <c r="P376">
        <v>15</v>
      </c>
    </row>
    <row r="377" spans="1:23">
      <c r="A377">
        <v>376</v>
      </c>
      <c r="B377" s="1">
        <v>45353</v>
      </c>
      <c r="C377" s="1">
        <v>45414</v>
      </c>
      <c r="D377" s="29">
        <f>Tailordata[[#This Row],[DueDate]]-Tailordata[[#This Row],[Date]]</f>
        <v>61</v>
      </c>
      <c r="E377" t="s">
        <v>29</v>
      </c>
      <c r="F377" t="s">
        <v>32</v>
      </c>
      <c r="G377">
        <v>443</v>
      </c>
      <c r="H377" t="s">
        <v>34</v>
      </c>
      <c r="O377">
        <v>17</v>
      </c>
      <c r="Q377">
        <v>21</v>
      </c>
      <c r="R377">
        <v>22</v>
      </c>
      <c r="S377">
        <v>24</v>
      </c>
      <c r="T377">
        <v>20</v>
      </c>
      <c r="U377">
        <v>16</v>
      </c>
    </row>
    <row r="378" spans="1:23">
      <c r="A378">
        <v>377</v>
      </c>
      <c r="B378" s="1">
        <v>45314</v>
      </c>
      <c r="C378" s="1">
        <v>45427</v>
      </c>
      <c r="D378" s="29">
        <f>Tailordata[[#This Row],[DueDate]]-Tailordata[[#This Row],[Date]]</f>
        <v>113</v>
      </c>
      <c r="E378" t="s">
        <v>27</v>
      </c>
      <c r="F378" t="s">
        <v>32</v>
      </c>
      <c r="G378">
        <v>78</v>
      </c>
      <c r="H378" t="s">
        <v>26</v>
      </c>
      <c r="I378">
        <v>22</v>
      </c>
      <c r="J378">
        <v>41</v>
      </c>
      <c r="K378">
        <v>23</v>
      </c>
      <c r="L378">
        <v>16</v>
      </c>
      <c r="N378">
        <v>45</v>
      </c>
      <c r="O378">
        <v>22</v>
      </c>
      <c r="P378">
        <v>24</v>
      </c>
    </row>
    <row r="379" spans="1:23">
      <c r="A379">
        <v>378</v>
      </c>
      <c r="B379" s="1">
        <v>45385</v>
      </c>
      <c r="C379" s="1">
        <v>45413</v>
      </c>
      <c r="D379" s="29">
        <f>Tailordata[[#This Row],[DueDate]]-Tailordata[[#This Row],[Date]]</f>
        <v>28</v>
      </c>
      <c r="E379" t="s">
        <v>33</v>
      </c>
      <c r="F379" t="s">
        <v>32</v>
      </c>
      <c r="G379">
        <v>90</v>
      </c>
      <c r="H379" t="s">
        <v>34</v>
      </c>
      <c r="I379">
        <v>22</v>
      </c>
      <c r="J379">
        <v>25</v>
      </c>
      <c r="K379">
        <v>17</v>
      </c>
      <c r="L379">
        <v>24</v>
      </c>
      <c r="M379">
        <v>17</v>
      </c>
      <c r="N379">
        <v>37</v>
      </c>
      <c r="O379">
        <v>23</v>
      </c>
      <c r="Q379">
        <v>18</v>
      </c>
      <c r="R379">
        <v>15</v>
      </c>
    </row>
    <row r="380" spans="1:23">
      <c r="A380">
        <v>379</v>
      </c>
      <c r="B380" s="1">
        <v>45298</v>
      </c>
      <c r="C380" s="1">
        <v>45414</v>
      </c>
      <c r="D380" s="29">
        <f>Tailordata[[#This Row],[DueDate]]-Tailordata[[#This Row],[Date]]</f>
        <v>116</v>
      </c>
      <c r="E380" t="s">
        <v>33</v>
      </c>
      <c r="F380" t="s">
        <v>32</v>
      </c>
      <c r="G380">
        <v>469</v>
      </c>
      <c r="H380" t="s">
        <v>26</v>
      </c>
      <c r="I380">
        <v>23</v>
      </c>
      <c r="J380">
        <v>43</v>
      </c>
      <c r="K380">
        <v>14</v>
      </c>
      <c r="L380">
        <v>21</v>
      </c>
      <c r="M380">
        <v>16</v>
      </c>
      <c r="N380">
        <v>42</v>
      </c>
      <c r="O380">
        <v>23</v>
      </c>
      <c r="Q380">
        <v>18</v>
      </c>
      <c r="R380">
        <v>23</v>
      </c>
    </row>
    <row r="381" spans="1:23">
      <c r="A381">
        <v>380</v>
      </c>
      <c r="B381" s="1">
        <v>45293</v>
      </c>
      <c r="C381" s="1">
        <v>45413</v>
      </c>
      <c r="D381" s="29">
        <f>Tailordata[[#This Row],[DueDate]]-Tailordata[[#This Row],[Date]]</f>
        <v>120</v>
      </c>
      <c r="E381" t="s">
        <v>29</v>
      </c>
      <c r="F381" t="s">
        <v>36</v>
      </c>
      <c r="G381">
        <v>273</v>
      </c>
      <c r="H381" t="s">
        <v>28</v>
      </c>
      <c r="O381">
        <v>15</v>
      </c>
      <c r="Q381">
        <v>18</v>
      </c>
      <c r="R381">
        <v>16</v>
      </c>
      <c r="S381">
        <v>21</v>
      </c>
      <c r="T381">
        <v>19</v>
      </c>
      <c r="U381">
        <v>14</v>
      </c>
    </row>
    <row r="382" spans="1:23">
      <c r="A382">
        <v>381</v>
      </c>
      <c r="B382" s="1">
        <v>45337</v>
      </c>
      <c r="C382" s="1">
        <v>45411</v>
      </c>
      <c r="D382" s="29">
        <f>Tailordata[[#This Row],[DueDate]]-Tailordata[[#This Row],[Date]]</f>
        <v>74</v>
      </c>
      <c r="E382" t="s">
        <v>22</v>
      </c>
      <c r="F382" t="s">
        <v>36</v>
      </c>
      <c r="G382">
        <v>283</v>
      </c>
      <c r="H382" t="s">
        <v>31</v>
      </c>
      <c r="I382">
        <v>18</v>
      </c>
      <c r="J382">
        <v>44</v>
      </c>
      <c r="K382">
        <v>24</v>
      </c>
      <c r="L382">
        <v>24</v>
      </c>
      <c r="M382">
        <v>22</v>
      </c>
    </row>
    <row r="383" spans="1:23">
      <c r="A383">
        <v>382</v>
      </c>
      <c r="B383" s="1">
        <v>45377</v>
      </c>
      <c r="C383" s="1">
        <v>45420</v>
      </c>
      <c r="D383" s="29">
        <f>Tailordata[[#This Row],[DueDate]]-Tailordata[[#This Row],[Date]]</f>
        <v>43</v>
      </c>
      <c r="E383" t="s">
        <v>22</v>
      </c>
      <c r="F383" t="s">
        <v>32</v>
      </c>
      <c r="G383">
        <v>56</v>
      </c>
      <c r="H383" t="s">
        <v>34</v>
      </c>
      <c r="I383">
        <v>24</v>
      </c>
      <c r="J383">
        <v>49</v>
      </c>
      <c r="K383">
        <v>16</v>
      </c>
      <c r="L383">
        <v>19</v>
      </c>
      <c r="M383">
        <v>23</v>
      </c>
    </row>
    <row r="384" spans="1:23">
      <c r="A384">
        <v>383</v>
      </c>
      <c r="B384" s="1">
        <v>45325</v>
      </c>
      <c r="C384" s="1">
        <v>45429</v>
      </c>
      <c r="D384" s="29">
        <f>Tailordata[[#This Row],[DueDate]]-Tailordata[[#This Row],[Date]]</f>
        <v>104</v>
      </c>
      <c r="E384" t="s">
        <v>27</v>
      </c>
      <c r="F384" t="s">
        <v>32</v>
      </c>
      <c r="G384">
        <v>259</v>
      </c>
      <c r="H384" t="s">
        <v>34</v>
      </c>
      <c r="I384">
        <v>22</v>
      </c>
      <c r="J384">
        <v>25</v>
      </c>
      <c r="K384">
        <v>14</v>
      </c>
      <c r="L384">
        <v>17</v>
      </c>
      <c r="N384">
        <v>37</v>
      </c>
      <c r="O384">
        <v>17</v>
      </c>
      <c r="P384">
        <v>23</v>
      </c>
    </row>
    <row r="385" spans="1:23">
      <c r="A385">
        <v>384</v>
      </c>
      <c r="B385" s="1">
        <v>45328</v>
      </c>
      <c r="C385" s="1">
        <v>45437</v>
      </c>
      <c r="D385" s="29">
        <f>Tailordata[[#This Row],[DueDate]]-Tailordata[[#This Row],[Date]]</f>
        <v>109</v>
      </c>
      <c r="E385" t="s">
        <v>22</v>
      </c>
      <c r="F385" t="s">
        <v>36</v>
      </c>
      <c r="G385">
        <v>369</v>
      </c>
      <c r="H385" t="s">
        <v>34</v>
      </c>
      <c r="I385">
        <v>20</v>
      </c>
      <c r="J385">
        <v>39</v>
      </c>
      <c r="K385">
        <v>18</v>
      </c>
      <c r="L385">
        <v>17</v>
      </c>
      <c r="M385">
        <v>20</v>
      </c>
    </row>
    <row r="386" spans="1:23">
      <c r="A386">
        <v>385</v>
      </c>
      <c r="B386" s="1">
        <v>45313</v>
      </c>
      <c r="C386" s="1">
        <v>45437</v>
      </c>
      <c r="D386" s="29">
        <f>Tailordata[[#This Row],[DueDate]]-Tailordata[[#This Row],[Date]]</f>
        <v>124</v>
      </c>
      <c r="E386" t="s">
        <v>35</v>
      </c>
      <c r="F386" t="s">
        <v>32</v>
      </c>
      <c r="G386">
        <v>63</v>
      </c>
      <c r="H386" t="s">
        <v>31</v>
      </c>
      <c r="O386">
        <v>24</v>
      </c>
      <c r="P386">
        <v>22</v>
      </c>
      <c r="Q386">
        <v>18</v>
      </c>
      <c r="R386">
        <v>17</v>
      </c>
      <c r="U386">
        <v>22</v>
      </c>
      <c r="V386">
        <v>14</v>
      </c>
      <c r="W386">
        <v>17</v>
      </c>
    </row>
    <row r="387" spans="1:23">
      <c r="A387">
        <v>386</v>
      </c>
      <c r="B387" s="1">
        <v>45312</v>
      </c>
      <c r="C387" s="1">
        <v>45425</v>
      </c>
      <c r="D387" s="29">
        <f>Tailordata[[#This Row],[DueDate]]-Tailordata[[#This Row],[Date]]</f>
        <v>113</v>
      </c>
      <c r="E387" t="s">
        <v>22</v>
      </c>
      <c r="F387" t="s">
        <v>32</v>
      </c>
      <c r="G387">
        <v>398</v>
      </c>
      <c r="H387" t="s">
        <v>24</v>
      </c>
      <c r="I387">
        <v>21</v>
      </c>
      <c r="J387">
        <v>48</v>
      </c>
      <c r="K387">
        <v>20</v>
      </c>
      <c r="L387">
        <v>14</v>
      </c>
      <c r="M387">
        <v>22</v>
      </c>
    </row>
    <row r="388" spans="1:23">
      <c r="A388">
        <v>387</v>
      </c>
      <c r="B388" s="1">
        <v>45400</v>
      </c>
      <c r="C388" s="1">
        <v>45431</v>
      </c>
      <c r="D388" s="29">
        <f>Tailordata[[#This Row],[DueDate]]-Tailordata[[#This Row],[Date]]</f>
        <v>31</v>
      </c>
      <c r="E388" t="s">
        <v>29</v>
      </c>
      <c r="F388" t="s">
        <v>25</v>
      </c>
      <c r="G388">
        <v>88</v>
      </c>
      <c r="H388" t="s">
        <v>34</v>
      </c>
      <c r="O388">
        <v>22</v>
      </c>
      <c r="Q388">
        <v>21</v>
      </c>
      <c r="R388">
        <v>20</v>
      </c>
      <c r="S388">
        <v>15</v>
      </c>
      <c r="T388">
        <v>14</v>
      </c>
      <c r="U388">
        <v>22</v>
      </c>
    </row>
    <row r="389" spans="1:23">
      <c r="A389">
        <v>388</v>
      </c>
      <c r="B389" s="1">
        <v>45308</v>
      </c>
      <c r="C389" s="1">
        <v>45418</v>
      </c>
      <c r="D389" s="29">
        <f>Tailordata[[#This Row],[DueDate]]-Tailordata[[#This Row],[Date]]</f>
        <v>110</v>
      </c>
      <c r="E389" t="s">
        <v>22</v>
      </c>
      <c r="F389" t="s">
        <v>30</v>
      </c>
      <c r="G389">
        <v>500</v>
      </c>
      <c r="H389" t="s">
        <v>24</v>
      </c>
      <c r="I389">
        <v>14</v>
      </c>
      <c r="J389">
        <v>23</v>
      </c>
      <c r="K389">
        <v>23</v>
      </c>
      <c r="L389">
        <v>17</v>
      </c>
      <c r="M389">
        <v>19</v>
      </c>
    </row>
    <row r="390" spans="1:23">
      <c r="A390">
        <v>389</v>
      </c>
      <c r="B390" s="1">
        <v>45360</v>
      </c>
      <c r="C390" s="1">
        <v>45427</v>
      </c>
      <c r="D390" s="29">
        <f>Tailordata[[#This Row],[DueDate]]-Tailordata[[#This Row],[Date]]</f>
        <v>67</v>
      </c>
      <c r="E390" t="s">
        <v>27</v>
      </c>
      <c r="F390" t="s">
        <v>25</v>
      </c>
      <c r="G390">
        <v>240</v>
      </c>
      <c r="H390" t="s">
        <v>34</v>
      </c>
      <c r="I390">
        <v>24</v>
      </c>
      <c r="J390">
        <v>20</v>
      </c>
      <c r="K390">
        <v>22</v>
      </c>
      <c r="L390">
        <v>21</v>
      </c>
      <c r="N390">
        <v>47</v>
      </c>
      <c r="O390">
        <v>22</v>
      </c>
      <c r="P390">
        <v>16</v>
      </c>
    </row>
    <row r="391" spans="1:23">
      <c r="A391">
        <v>390</v>
      </c>
      <c r="B391" s="1">
        <v>45300</v>
      </c>
      <c r="C391" s="1">
        <v>45427</v>
      </c>
      <c r="D391" s="29">
        <f>Tailordata[[#This Row],[DueDate]]-Tailordata[[#This Row],[Date]]</f>
        <v>127</v>
      </c>
      <c r="E391" t="s">
        <v>27</v>
      </c>
      <c r="F391" t="s">
        <v>23</v>
      </c>
      <c r="G391">
        <v>185</v>
      </c>
      <c r="H391" t="s">
        <v>34</v>
      </c>
      <c r="I391">
        <v>24</v>
      </c>
      <c r="J391">
        <v>20</v>
      </c>
      <c r="K391">
        <v>18</v>
      </c>
      <c r="L391">
        <v>19</v>
      </c>
      <c r="N391">
        <v>22</v>
      </c>
      <c r="O391">
        <v>20</v>
      </c>
      <c r="P391">
        <v>20</v>
      </c>
    </row>
    <row r="392" spans="1:23">
      <c r="A392">
        <v>391</v>
      </c>
      <c r="B392" s="1">
        <v>45340</v>
      </c>
      <c r="C392" s="1">
        <v>45414</v>
      </c>
      <c r="D392" s="29">
        <f>Tailordata[[#This Row],[DueDate]]-Tailordata[[#This Row],[Date]]</f>
        <v>74</v>
      </c>
      <c r="E392" t="s">
        <v>33</v>
      </c>
      <c r="F392" t="s">
        <v>32</v>
      </c>
      <c r="G392">
        <v>288</v>
      </c>
      <c r="H392" t="s">
        <v>34</v>
      </c>
      <c r="I392">
        <v>18</v>
      </c>
      <c r="J392">
        <v>33</v>
      </c>
      <c r="K392">
        <v>15</v>
      </c>
      <c r="L392">
        <v>20</v>
      </c>
      <c r="M392">
        <v>18</v>
      </c>
      <c r="N392">
        <v>47</v>
      </c>
      <c r="O392">
        <v>21</v>
      </c>
      <c r="Q392">
        <v>18</v>
      </c>
      <c r="R392">
        <v>17</v>
      </c>
    </row>
    <row r="393" spans="1:23">
      <c r="A393">
        <v>392</v>
      </c>
      <c r="B393" s="1">
        <v>45366</v>
      </c>
      <c r="C393" s="1">
        <v>45411</v>
      </c>
      <c r="D393" s="29">
        <f>Tailordata[[#This Row],[DueDate]]-Tailordata[[#This Row],[Date]]</f>
        <v>45</v>
      </c>
      <c r="E393" t="s">
        <v>29</v>
      </c>
      <c r="F393" t="s">
        <v>25</v>
      </c>
      <c r="G393">
        <v>98</v>
      </c>
      <c r="H393" t="s">
        <v>31</v>
      </c>
      <c r="O393">
        <v>14</v>
      </c>
      <c r="Q393">
        <v>19</v>
      </c>
      <c r="R393">
        <v>22</v>
      </c>
      <c r="S393">
        <v>24</v>
      </c>
      <c r="T393">
        <v>24</v>
      </c>
      <c r="U393">
        <v>21</v>
      </c>
    </row>
    <row r="394" spans="1:23">
      <c r="A394">
        <v>393</v>
      </c>
      <c r="B394" s="1">
        <v>45337</v>
      </c>
      <c r="C394" s="1">
        <v>45437</v>
      </c>
      <c r="D394" s="29">
        <f>Tailordata[[#This Row],[DueDate]]-Tailordata[[#This Row],[Date]]</f>
        <v>100</v>
      </c>
      <c r="E394" t="s">
        <v>33</v>
      </c>
      <c r="F394" t="s">
        <v>25</v>
      </c>
      <c r="G394">
        <v>429</v>
      </c>
      <c r="H394" t="s">
        <v>31</v>
      </c>
      <c r="I394">
        <v>22</v>
      </c>
      <c r="J394">
        <v>30</v>
      </c>
      <c r="K394">
        <v>19</v>
      </c>
      <c r="L394">
        <v>16</v>
      </c>
      <c r="M394">
        <v>16</v>
      </c>
      <c r="N394">
        <v>26</v>
      </c>
      <c r="O394">
        <v>18</v>
      </c>
      <c r="Q394">
        <v>18</v>
      </c>
      <c r="R394">
        <v>16</v>
      </c>
    </row>
    <row r="395" spans="1:23">
      <c r="A395">
        <v>394</v>
      </c>
      <c r="B395" s="1">
        <v>45330</v>
      </c>
      <c r="C395" s="1">
        <v>45415</v>
      </c>
      <c r="D395" s="29">
        <f>Tailordata[[#This Row],[DueDate]]-Tailordata[[#This Row],[Date]]</f>
        <v>85</v>
      </c>
      <c r="E395" t="s">
        <v>27</v>
      </c>
      <c r="F395" t="s">
        <v>23</v>
      </c>
      <c r="G395">
        <v>315</v>
      </c>
      <c r="H395" t="s">
        <v>34</v>
      </c>
      <c r="I395">
        <v>18</v>
      </c>
      <c r="J395">
        <v>30</v>
      </c>
      <c r="K395">
        <v>23</v>
      </c>
      <c r="L395">
        <v>15</v>
      </c>
      <c r="N395">
        <v>20</v>
      </c>
      <c r="O395">
        <v>21</v>
      </c>
      <c r="P395">
        <v>17</v>
      </c>
    </row>
    <row r="396" spans="1:23">
      <c r="A396">
        <v>395</v>
      </c>
      <c r="B396" s="1">
        <v>45410</v>
      </c>
      <c r="C396" s="1">
        <v>45430</v>
      </c>
      <c r="D396" s="29">
        <f>Tailordata[[#This Row],[DueDate]]-Tailordata[[#This Row],[Date]]</f>
        <v>20</v>
      </c>
      <c r="E396" t="s">
        <v>35</v>
      </c>
      <c r="F396" t="s">
        <v>36</v>
      </c>
      <c r="G396">
        <v>496</v>
      </c>
      <c r="H396" t="s">
        <v>26</v>
      </c>
      <c r="O396">
        <v>15</v>
      </c>
      <c r="P396">
        <v>17</v>
      </c>
      <c r="Q396">
        <v>14</v>
      </c>
      <c r="R396">
        <v>15</v>
      </c>
      <c r="U396">
        <v>20</v>
      </c>
      <c r="V396">
        <v>24</v>
      </c>
      <c r="W396">
        <v>18</v>
      </c>
    </row>
    <row r="397" spans="1:23">
      <c r="A397">
        <v>396</v>
      </c>
      <c r="B397" s="1">
        <v>45294</v>
      </c>
      <c r="C397" s="1">
        <v>45425</v>
      </c>
      <c r="D397" s="29">
        <f>Tailordata[[#This Row],[DueDate]]-Tailordata[[#This Row],[Date]]</f>
        <v>131</v>
      </c>
      <c r="E397" t="s">
        <v>35</v>
      </c>
      <c r="F397" t="s">
        <v>36</v>
      </c>
      <c r="G397">
        <v>64</v>
      </c>
      <c r="H397" t="s">
        <v>34</v>
      </c>
      <c r="O397">
        <v>17</v>
      </c>
      <c r="P397">
        <v>17</v>
      </c>
      <c r="Q397">
        <v>20</v>
      </c>
      <c r="R397">
        <v>20</v>
      </c>
      <c r="U397">
        <v>16</v>
      </c>
      <c r="V397">
        <v>18</v>
      </c>
      <c r="W397">
        <v>23</v>
      </c>
    </row>
    <row r="398" spans="1:23">
      <c r="A398">
        <v>397</v>
      </c>
      <c r="B398" s="1">
        <v>45359</v>
      </c>
      <c r="C398" s="1">
        <v>45419</v>
      </c>
      <c r="D398" s="29">
        <f>Tailordata[[#This Row],[DueDate]]-Tailordata[[#This Row],[Date]]</f>
        <v>60</v>
      </c>
      <c r="E398" t="s">
        <v>22</v>
      </c>
      <c r="F398" t="s">
        <v>25</v>
      </c>
      <c r="G398">
        <v>261</v>
      </c>
      <c r="H398" t="s">
        <v>31</v>
      </c>
      <c r="I398">
        <v>21</v>
      </c>
      <c r="J398">
        <v>41</v>
      </c>
      <c r="K398">
        <v>21</v>
      </c>
      <c r="L398">
        <v>14</v>
      </c>
      <c r="M398">
        <v>23</v>
      </c>
    </row>
    <row r="399" spans="1:23">
      <c r="A399">
        <v>398</v>
      </c>
      <c r="B399" s="1">
        <v>45406</v>
      </c>
      <c r="C399" s="1">
        <v>45418</v>
      </c>
      <c r="D399" s="29">
        <f>Tailordata[[#This Row],[DueDate]]-Tailordata[[#This Row],[Date]]</f>
        <v>12</v>
      </c>
      <c r="E399" t="s">
        <v>27</v>
      </c>
      <c r="F399" t="s">
        <v>32</v>
      </c>
      <c r="G399">
        <v>287</v>
      </c>
      <c r="H399" t="s">
        <v>28</v>
      </c>
      <c r="I399">
        <v>18</v>
      </c>
      <c r="J399">
        <v>27</v>
      </c>
      <c r="K399">
        <v>23</v>
      </c>
      <c r="L399">
        <v>20</v>
      </c>
      <c r="N399">
        <v>26</v>
      </c>
      <c r="O399">
        <v>14</v>
      </c>
      <c r="P399">
        <v>22</v>
      </c>
    </row>
    <row r="400" spans="1:23">
      <c r="A400">
        <v>399</v>
      </c>
      <c r="B400" s="1">
        <v>45387</v>
      </c>
      <c r="C400" s="1">
        <v>45436</v>
      </c>
      <c r="D400" s="29">
        <f>Tailordata[[#This Row],[DueDate]]-Tailordata[[#This Row],[Date]]</f>
        <v>49</v>
      </c>
      <c r="E400" t="s">
        <v>29</v>
      </c>
      <c r="F400" t="s">
        <v>32</v>
      </c>
      <c r="G400">
        <v>310</v>
      </c>
      <c r="H400" t="s">
        <v>28</v>
      </c>
      <c r="O400">
        <v>22</v>
      </c>
      <c r="Q400">
        <v>19</v>
      </c>
      <c r="R400">
        <v>15</v>
      </c>
      <c r="S400">
        <v>24</v>
      </c>
      <c r="T400">
        <v>14</v>
      </c>
      <c r="U400">
        <v>23</v>
      </c>
    </row>
    <row r="401" spans="1:23">
      <c r="A401">
        <v>400</v>
      </c>
      <c r="B401" s="1">
        <v>45300</v>
      </c>
      <c r="C401" s="1">
        <v>45419</v>
      </c>
      <c r="D401" s="29">
        <f>Tailordata[[#This Row],[DueDate]]-Tailordata[[#This Row],[Date]]</f>
        <v>119</v>
      </c>
      <c r="E401" t="s">
        <v>22</v>
      </c>
      <c r="F401" t="s">
        <v>32</v>
      </c>
      <c r="G401">
        <v>168</v>
      </c>
      <c r="H401" t="s">
        <v>24</v>
      </c>
      <c r="I401">
        <v>21</v>
      </c>
      <c r="J401">
        <v>46</v>
      </c>
      <c r="K401">
        <v>15</v>
      </c>
      <c r="L401">
        <v>24</v>
      </c>
      <c r="M401">
        <v>18</v>
      </c>
    </row>
    <row r="402" spans="1:23">
      <c r="A402">
        <v>401</v>
      </c>
      <c r="B402" s="1">
        <v>45332</v>
      </c>
      <c r="C402" s="1">
        <v>45416</v>
      </c>
      <c r="D402" s="29">
        <f>Tailordata[[#This Row],[DueDate]]-Tailordata[[#This Row],[Date]]</f>
        <v>84</v>
      </c>
      <c r="E402" t="s">
        <v>27</v>
      </c>
      <c r="F402" t="s">
        <v>32</v>
      </c>
      <c r="G402">
        <v>81</v>
      </c>
      <c r="H402" t="s">
        <v>26</v>
      </c>
      <c r="I402">
        <v>14</v>
      </c>
      <c r="J402">
        <v>43</v>
      </c>
      <c r="K402">
        <v>21</v>
      </c>
      <c r="L402">
        <v>16</v>
      </c>
      <c r="N402">
        <v>39</v>
      </c>
      <c r="O402">
        <v>16</v>
      </c>
      <c r="P402">
        <v>20</v>
      </c>
    </row>
    <row r="403" spans="1:23">
      <c r="A403">
        <v>402</v>
      </c>
      <c r="B403" s="1">
        <v>45293</v>
      </c>
      <c r="C403" s="1">
        <v>45419</v>
      </c>
      <c r="D403" s="29">
        <f>Tailordata[[#This Row],[DueDate]]-Tailordata[[#This Row],[Date]]</f>
        <v>126</v>
      </c>
      <c r="E403" t="s">
        <v>27</v>
      </c>
      <c r="F403" t="s">
        <v>32</v>
      </c>
      <c r="G403">
        <v>87</v>
      </c>
      <c r="H403" t="s">
        <v>24</v>
      </c>
      <c r="I403">
        <v>16</v>
      </c>
      <c r="J403">
        <v>38</v>
      </c>
      <c r="K403">
        <v>23</v>
      </c>
      <c r="L403">
        <v>17</v>
      </c>
      <c r="N403">
        <v>28</v>
      </c>
      <c r="O403">
        <v>20</v>
      </c>
      <c r="P403">
        <v>23</v>
      </c>
    </row>
    <row r="404" spans="1:23">
      <c r="A404">
        <v>403</v>
      </c>
      <c r="B404" s="1">
        <v>45304</v>
      </c>
      <c r="C404" s="1">
        <v>45411</v>
      </c>
      <c r="D404" s="29">
        <f>Tailordata[[#This Row],[DueDate]]-Tailordata[[#This Row],[Date]]</f>
        <v>107</v>
      </c>
      <c r="E404" t="s">
        <v>22</v>
      </c>
      <c r="F404" t="s">
        <v>32</v>
      </c>
      <c r="G404">
        <v>394</v>
      </c>
      <c r="H404" t="s">
        <v>28</v>
      </c>
      <c r="I404">
        <v>16</v>
      </c>
      <c r="J404">
        <v>42</v>
      </c>
      <c r="K404">
        <v>15</v>
      </c>
      <c r="L404">
        <v>18</v>
      </c>
      <c r="M404">
        <v>20</v>
      </c>
    </row>
    <row r="405" spans="1:23">
      <c r="A405">
        <v>404</v>
      </c>
      <c r="B405" s="1">
        <v>45320</v>
      </c>
      <c r="C405" s="1">
        <v>45430</v>
      </c>
      <c r="D405" s="29">
        <f>Tailordata[[#This Row],[DueDate]]-Tailordata[[#This Row],[Date]]</f>
        <v>110</v>
      </c>
      <c r="E405" t="s">
        <v>27</v>
      </c>
      <c r="F405" t="s">
        <v>36</v>
      </c>
      <c r="G405">
        <v>331</v>
      </c>
      <c r="H405" t="s">
        <v>31</v>
      </c>
      <c r="I405">
        <v>17</v>
      </c>
      <c r="J405">
        <v>38</v>
      </c>
      <c r="K405">
        <v>23</v>
      </c>
      <c r="L405">
        <v>19</v>
      </c>
      <c r="N405">
        <v>33</v>
      </c>
      <c r="O405">
        <v>14</v>
      </c>
      <c r="P405">
        <v>22</v>
      </c>
    </row>
    <row r="406" spans="1:23">
      <c r="A406">
        <v>405</v>
      </c>
      <c r="B406" s="1">
        <v>45343</v>
      </c>
      <c r="C406" s="1">
        <v>45427</v>
      </c>
      <c r="D406" s="29">
        <f>Tailordata[[#This Row],[DueDate]]-Tailordata[[#This Row],[Date]]</f>
        <v>84</v>
      </c>
      <c r="E406" t="s">
        <v>33</v>
      </c>
      <c r="F406" t="s">
        <v>25</v>
      </c>
      <c r="G406">
        <v>84</v>
      </c>
      <c r="H406" t="s">
        <v>26</v>
      </c>
      <c r="I406">
        <v>20</v>
      </c>
      <c r="J406">
        <v>39</v>
      </c>
      <c r="K406">
        <v>17</v>
      </c>
      <c r="L406">
        <v>16</v>
      </c>
      <c r="M406">
        <v>19</v>
      </c>
      <c r="N406">
        <v>45</v>
      </c>
      <c r="O406">
        <v>16</v>
      </c>
      <c r="Q406">
        <v>20</v>
      </c>
      <c r="R406">
        <v>16</v>
      </c>
    </row>
    <row r="407" spans="1:23">
      <c r="A407">
        <v>406</v>
      </c>
      <c r="B407" s="1">
        <v>45348</v>
      </c>
      <c r="C407" s="1">
        <v>45439</v>
      </c>
      <c r="D407" s="29">
        <f>Tailordata[[#This Row],[DueDate]]-Tailordata[[#This Row],[Date]]</f>
        <v>91</v>
      </c>
      <c r="E407" t="s">
        <v>22</v>
      </c>
      <c r="F407" t="s">
        <v>25</v>
      </c>
      <c r="G407">
        <v>433</v>
      </c>
      <c r="H407" t="s">
        <v>31</v>
      </c>
      <c r="I407">
        <v>19</v>
      </c>
      <c r="J407">
        <v>35</v>
      </c>
      <c r="K407">
        <v>14</v>
      </c>
      <c r="L407">
        <v>22</v>
      </c>
      <c r="M407">
        <v>24</v>
      </c>
    </row>
    <row r="408" spans="1:23">
      <c r="A408">
        <v>407</v>
      </c>
      <c r="B408" s="1">
        <v>45334</v>
      </c>
      <c r="C408" s="1">
        <v>45425</v>
      </c>
      <c r="D408" s="29">
        <f>Tailordata[[#This Row],[DueDate]]-Tailordata[[#This Row],[Date]]</f>
        <v>91</v>
      </c>
      <c r="E408" t="s">
        <v>29</v>
      </c>
      <c r="F408" t="s">
        <v>25</v>
      </c>
      <c r="G408">
        <v>369</v>
      </c>
      <c r="H408" t="s">
        <v>24</v>
      </c>
      <c r="O408">
        <v>20</v>
      </c>
      <c r="Q408">
        <v>16</v>
      </c>
      <c r="R408">
        <v>18</v>
      </c>
      <c r="S408">
        <v>22</v>
      </c>
      <c r="T408">
        <v>15</v>
      </c>
      <c r="U408">
        <v>20</v>
      </c>
    </row>
    <row r="409" spans="1:23">
      <c r="A409">
        <v>408</v>
      </c>
      <c r="B409" s="1">
        <v>45408</v>
      </c>
      <c r="C409" s="1">
        <v>45431</v>
      </c>
      <c r="D409" s="29">
        <f>Tailordata[[#This Row],[DueDate]]-Tailordata[[#This Row],[Date]]</f>
        <v>23</v>
      </c>
      <c r="E409" t="s">
        <v>33</v>
      </c>
      <c r="F409" t="s">
        <v>36</v>
      </c>
      <c r="G409">
        <v>197</v>
      </c>
      <c r="H409" t="s">
        <v>28</v>
      </c>
      <c r="I409">
        <v>18</v>
      </c>
      <c r="J409">
        <v>47</v>
      </c>
      <c r="K409">
        <v>15</v>
      </c>
      <c r="L409">
        <v>15</v>
      </c>
      <c r="M409">
        <v>22</v>
      </c>
      <c r="N409">
        <v>28</v>
      </c>
      <c r="O409">
        <v>17</v>
      </c>
      <c r="Q409">
        <v>17</v>
      </c>
      <c r="R409">
        <v>20</v>
      </c>
    </row>
    <row r="410" spans="1:23">
      <c r="A410">
        <v>409</v>
      </c>
      <c r="B410" s="1">
        <v>45406</v>
      </c>
      <c r="C410" s="1">
        <v>45423</v>
      </c>
      <c r="D410" s="29">
        <f>Tailordata[[#This Row],[DueDate]]-Tailordata[[#This Row],[Date]]</f>
        <v>17</v>
      </c>
      <c r="E410" t="s">
        <v>22</v>
      </c>
      <c r="F410" t="s">
        <v>25</v>
      </c>
      <c r="G410">
        <v>53</v>
      </c>
      <c r="H410" t="s">
        <v>24</v>
      </c>
      <c r="I410">
        <v>22</v>
      </c>
      <c r="J410">
        <v>35</v>
      </c>
      <c r="K410">
        <v>14</v>
      </c>
      <c r="L410">
        <v>19</v>
      </c>
      <c r="M410">
        <v>16</v>
      </c>
    </row>
    <row r="411" spans="1:23">
      <c r="A411">
        <v>410</v>
      </c>
      <c r="B411" s="1">
        <v>45387</v>
      </c>
      <c r="C411" s="1">
        <v>45413</v>
      </c>
      <c r="D411" s="29">
        <f>Tailordata[[#This Row],[DueDate]]-Tailordata[[#This Row],[Date]]</f>
        <v>26</v>
      </c>
      <c r="E411" t="s">
        <v>29</v>
      </c>
      <c r="F411" t="s">
        <v>25</v>
      </c>
      <c r="G411">
        <v>296</v>
      </c>
      <c r="H411" t="s">
        <v>31</v>
      </c>
      <c r="O411">
        <v>20</v>
      </c>
      <c r="Q411">
        <v>20</v>
      </c>
      <c r="R411">
        <v>14</v>
      </c>
      <c r="S411">
        <v>22</v>
      </c>
      <c r="T411">
        <v>16</v>
      </c>
      <c r="U411">
        <v>17</v>
      </c>
    </row>
    <row r="412" spans="1:23">
      <c r="A412">
        <v>411</v>
      </c>
      <c r="B412" s="1">
        <v>45338</v>
      </c>
      <c r="C412" s="1">
        <v>45412</v>
      </c>
      <c r="D412" s="29">
        <f>Tailordata[[#This Row],[DueDate]]-Tailordata[[#This Row],[Date]]</f>
        <v>74</v>
      </c>
      <c r="E412" t="s">
        <v>22</v>
      </c>
      <c r="F412" t="s">
        <v>36</v>
      </c>
      <c r="G412">
        <v>486</v>
      </c>
      <c r="H412" t="s">
        <v>28</v>
      </c>
      <c r="I412">
        <v>15</v>
      </c>
      <c r="J412">
        <v>25</v>
      </c>
      <c r="K412">
        <v>16</v>
      </c>
      <c r="L412">
        <v>18</v>
      </c>
      <c r="M412">
        <v>15</v>
      </c>
    </row>
    <row r="413" spans="1:23">
      <c r="A413">
        <v>412</v>
      </c>
      <c r="B413" s="1">
        <v>45353</v>
      </c>
      <c r="C413" s="1">
        <v>45434</v>
      </c>
      <c r="D413" s="29">
        <f>Tailordata[[#This Row],[DueDate]]-Tailordata[[#This Row],[Date]]</f>
        <v>81</v>
      </c>
      <c r="E413" t="s">
        <v>27</v>
      </c>
      <c r="F413" t="s">
        <v>32</v>
      </c>
      <c r="G413">
        <v>291</v>
      </c>
      <c r="H413" t="s">
        <v>24</v>
      </c>
      <c r="I413">
        <v>17</v>
      </c>
      <c r="J413">
        <v>23</v>
      </c>
      <c r="K413">
        <v>17</v>
      </c>
      <c r="L413">
        <v>17</v>
      </c>
      <c r="N413">
        <v>40</v>
      </c>
      <c r="O413">
        <v>14</v>
      </c>
      <c r="P413">
        <v>17</v>
      </c>
    </row>
    <row r="414" spans="1:23">
      <c r="A414">
        <v>413</v>
      </c>
      <c r="B414" s="1">
        <v>45339</v>
      </c>
      <c r="C414" s="1">
        <v>45417</v>
      </c>
      <c r="D414" s="29">
        <f>Tailordata[[#This Row],[DueDate]]-Tailordata[[#This Row],[Date]]</f>
        <v>78</v>
      </c>
      <c r="E414" t="s">
        <v>22</v>
      </c>
      <c r="F414" t="s">
        <v>30</v>
      </c>
      <c r="G414">
        <v>263</v>
      </c>
      <c r="H414" t="s">
        <v>26</v>
      </c>
      <c r="I414">
        <v>22</v>
      </c>
      <c r="J414">
        <v>32</v>
      </c>
      <c r="K414">
        <v>20</v>
      </c>
      <c r="L414">
        <v>15</v>
      </c>
      <c r="M414">
        <v>19</v>
      </c>
    </row>
    <row r="415" spans="1:23">
      <c r="A415">
        <v>414</v>
      </c>
      <c r="B415" s="1">
        <v>45372</v>
      </c>
      <c r="C415" s="1">
        <v>45423</v>
      </c>
      <c r="D415" s="29">
        <f>Tailordata[[#This Row],[DueDate]]-Tailordata[[#This Row],[Date]]</f>
        <v>51</v>
      </c>
      <c r="E415" t="s">
        <v>29</v>
      </c>
      <c r="F415" t="s">
        <v>25</v>
      </c>
      <c r="G415">
        <v>145</v>
      </c>
      <c r="H415" t="s">
        <v>24</v>
      </c>
      <c r="O415">
        <v>14</v>
      </c>
      <c r="Q415">
        <v>23</v>
      </c>
      <c r="R415">
        <v>24</v>
      </c>
      <c r="S415">
        <v>21</v>
      </c>
      <c r="T415">
        <v>16</v>
      </c>
      <c r="U415">
        <v>17</v>
      </c>
    </row>
    <row r="416" spans="1:23">
      <c r="A416">
        <v>415</v>
      </c>
      <c r="B416" s="1">
        <v>45387</v>
      </c>
      <c r="C416" s="1">
        <v>45414</v>
      </c>
      <c r="D416" s="29">
        <f>Tailordata[[#This Row],[DueDate]]-Tailordata[[#This Row],[Date]]</f>
        <v>27</v>
      </c>
      <c r="E416" t="s">
        <v>35</v>
      </c>
      <c r="F416" t="s">
        <v>25</v>
      </c>
      <c r="G416">
        <v>233</v>
      </c>
      <c r="H416" t="s">
        <v>28</v>
      </c>
      <c r="O416">
        <v>14</v>
      </c>
      <c r="P416">
        <v>20</v>
      </c>
      <c r="Q416">
        <v>21</v>
      </c>
      <c r="R416">
        <v>20</v>
      </c>
      <c r="U416">
        <v>21</v>
      </c>
      <c r="V416">
        <v>20</v>
      </c>
      <c r="W416">
        <v>24</v>
      </c>
    </row>
    <row r="417" spans="1:23">
      <c r="A417">
        <v>416</v>
      </c>
      <c r="B417" s="1">
        <v>45313</v>
      </c>
      <c r="C417" s="1">
        <v>45423</v>
      </c>
      <c r="D417" s="29">
        <f>Tailordata[[#This Row],[DueDate]]-Tailordata[[#This Row],[Date]]</f>
        <v>110</v>
      </c>
      <c r="E417" t="s">
        <v>33</v>
      </c>
      <c r="F417" t="s">
        <v>30</v>
      </c>
      <c r="G417">
        <v>453</v>
      </c>
      <c r="H417" t="s">
        <v>24</v>
      </c>
      <c r="I417">
        <v>15</v>
      </c>
      <c r="J417">
        <v>34</v>
      </c>
      <c r="K417">
        <v>20</v>
      </c>
      <c r="L417">
        <v>15</v>
      </c>
      <c r="M417">
        <v>15</v>
      </c>
      <c r="N417">
        <v>47</v>
      </c>
      <c r="O417">
        <v>15</v>
      </c>
      <c r="Q417">
        <v>18</v>
      </c>
      <c r="R417">
        <v>23</v>
      </c>
    </row>
    <row r="418" spans="1:23">
      <c r="A418">
        <v>417</v>
      </c>
      <c r="B418" s="1">
        <v>45314</v>
      </c>
      <c r="C418" s="1">
        <v>45416</v>
      </c>
      <c r="D418" s="29">
        <f>Tailordata[[#This Row],[DueDate]]-Tailordata[[#This Row],[Date]]</f>
        <v>102</v>
      </c>
      <c r="E418" t="s">
        <v>22</v>
      </c>
      <c r="F418" t="s">
        <v>25</v>
      </c>
      <c r="G418">
        <v>375</v>
      </c>
      <c r="H418" t="s">
        <v>26</v>
      </c>
      <c r="I418">
        <v>24</v>
      </c>
      <c r="J418">
        <v>23</v>
      </c>
      <c r="K418">
        <v>22</v>
      </c>
      <c r="L418">
        <v>19</v>
      </c>
      <c r="M418">
        <v>22</v>
      </c>
    </row>
    <row r="419" spans="1:23">
      <c r="A419">
        <v>418</v>
      </c>
      <c r="B419" s="1">
        <v>45332</v>
      </c>
      <c r="C419" s="1">
        <v>45416</v>
      </c>
      <c r="D419" s="29">
        <f>Tailordata[[#This Row],[DueDate]]-Tailordata[[#This Row],[Date]]</f>
        <v>84</v>
      </c>
      <c r="E419" t="s">
        <v>33</v>
      </c>
      <c r="F419" t="s">
        <v>23</v>
      </c>
      <c r="G419">
        <v>404</v>
      </c>
      <c r="H419" t="s">
        <v>24</v>
      </c>
      <c r="I419">
        <v>22</v>
      </c>
      <c r="J419">
        <v>50</v>
      </c>
      <c r="K419">
        <v>23</v>
      </c>
      <c r="L419">
        <v>16</v>
      </c>
      <c r="M419">
        <v>15</v>
      </c>
      <c r="N419">
        <v>26</v>
      </c>
      <c r="O419">
        <v>16</v>
      </c>
      <c r="Q419">
        <v>14</v>
      </c>
      <c r="R419">
        <v>14</v>
      </c>
    </row>
    <row r="420" spans="1:23">
      <c r="A420">
        <v>419</v>
      </c>
      <c r="B420" s="1">
        <v>45305</v>
      </c>
      <c r="C420" s="1">
        <v>45438</v>
      </c>
      <c r="D420" s="29">
        <f>Tailordata[[#This Row],[DueDate]]-Tailordata[[#This Row],[Date]]</f>
        <v>133</v>
      </c>
      <c r="E420" t="s">
        <v>27</v>
      </c>
      <c r="F420" t="s">
        <v>36</v>
      </c>
      <c r="G420">
        <v>374</v>
      </c>
      <c r="H420" t="s">
        <v>28</v>
      </c>
      <c r="I420">
        <v>19</v>
      </c>
      <c r="J420">
        <v>26</v>
      </c>
      <c r="K420">
        <v>19</v>
      </c>
      <c r="L420">
        <v>15</v>
      </c>
      <c r="N420">
        <v>36</v>
      </c>
      <c r="O420">
        <v>14</v>
      </c>
      <c r="P420">
        <v>20</v>
      </c>
    </row>
    <row r="421" spans="1:23">
      <c r="A421">
        <v>420</v>
      </c>
      <c r="B421" s="1">
        <v>45349</v>
      </c>
      <c r="C421" s="1">
        <v>45440</v>
      </c>
      <c r="D421" s="29">
        <f>Tailordata[[#This Row],[DueDate]]-Tailordata[[#This Row],[Date]]</f>
        <v>91</v>
      </c>
      <c r="E421" t="s">
        <v>27</v>
      </c>
      <c r="F421" t="s">
        <v>23</v>
      </c>
      <c r="G421">
        <v>421</v>
      </c>
      <c r="H421" t="s">
        <v>34</v>
      </c>
      <c r="I421">
        <v>20</v>
      </c>
      <c r="J421">
        <v>29</v>
      </c>
      <c r="K421">
        <v>19</v>
      </c>
      <c r="L421">
        <v>20</v>
      </c>
      <c r="N421">
        <v>34</v>
      </c>
      <c r="O421">
        <v>16</v>
      </c>
      <c r="P421">
        <v>19</v>
      </c>
    </row>
    <row r="422" spans="1:23">
      <c r="A422">
        <v>421</v>
      </c>
      <c r="B422" s="1">
        <v>45312</v>
      </c>
      <c r="C422" s="1">
        <v>45422</v>
      </c>
      <c r="D422" s="29">
        <f>Tailordata[[#This Row],[DueDate]]-Tailordata[[#This Row],[Date]]</f>
        <v>110</v>
      </c>
      <c r="E422" t="s">
        <v>33</v>
      </c>
      <c r="F422" t="s">
        <v>30</v>
      </c>
      <c r="G422">
        <v>338</v>
      </c>
      <c r="H422" t="s">
        <v>26</v>
      </c>
      <c r="I422">
        <v>18</v>
      </c>
      <c r="J422">
        <v>41</v>
      </c>
      <c r="K422">
        <v>16</v>
      </c>
      <c r="L422">
        <v>18</v>
      </c>
      <c r="M422">
        <v>18</v>
      </c>
      <c r="N422">
        <v>21</v>
      </c>
      <c r="O422">
        <v>23</v>
      </c>
      <c r="Q422">
        <v>17</v>
      </c>
      <c r="R422">
        <v>15</v>
      </c>
    </row>
    <row r="423" spans="1:23">
      <c r="A423">
        <v>422</v>
      </c>
      <c r="B423" s="1">
        <v>45408</v>
      </c>
      <c r="C423" s="1">
        <v>45418</v>
      </c>
      <c r="D423" s="29">
        <f>Tailordata[[#This Row],[DueDate]]-Tailordata[[#This Row],[Date]]</f>
        <v>10</v>
      </c>
      <c r="E423" t="s">
        <v>27</v>
      </c>
      <c r="F423" t="s">
        <v>36</v>
      </c>
      <c r="G423">
        <v>238</v>
      </c>
      <c r="H423" t="s">
        <v>26</v>
      </c>
      <c r="I423">
        <v>19</v>
      </c>
      <c r="J423">
        <v>38</v>
      </c>
      <c r="K423">
        <v>22</v>
      </c>
      <c r="L423">
        <v>18</v>
      </c>
      <c r="N423">
        <v>23</v>
      </c>
      <c r="O423">
        <v>22</v>
      </c>
      <c r="P423">
        <v>14</v>
      </c>
    </row>
    <row r="424" spans="1:23">
      <c r="A424">
        <v>423</v>
      </c>
      <c r="B424" s="1">
        <v>45347</v>
      </c>
      <c r="C424" s="1">
        <v>45440</v>
      </c>
      <c r="D424" s="29">
        <f>Tailordata[[#This Row],[DueDate]]-Tailordata[[#This Row],[Date]]</f>
        <v>93</v>
      </c>
      <c r="E424" t="s">
        <v>27</v>
      </c>
      <c r="F424" t="s">
        <v>23</v>
      </c>
      <c r="G424">
        <v>263</v>
      </c>
      <c r="H424" t="s">
        <v>24</v>
      </c>
      <c r="I424">
        <v>17</v>
      </c>
      <c r="J424">
        <v>42</v>
      </c>
      <c r="K424">
        <v>20</v>
      </c>
      <c r="L424">
        <v>20</v>
      </c>
      <c r="N424">
        <v>41</v>
      </c>
      <c r="O424">
        <v>17</v>
      </c>
      <c r="P424">
        <v>20</v>
      </c>
    </row>
    <row r="425" spans="1:23">
      <c r="A425">
        <v>424</v>
      </c>
      <c r="B425" s="1">
        <v>45395</v>
      </c>
      <c r="C425" s="1">
        <v>45425</v>
      </c>
      <c r="D425" s="29">
        <f>Tailordata[[#This Row],[DueDate]]-Tailordata[[#This Row],[Date]]</f>
        <v>30</v>
      </c>
      <c r="E425" t="s">
        <v>22</v>
      </c>
      <c r="F425" t="s">
        <v>36</v>
      </c>
      <c r="G425">
        <v>202</v>
      </c>
      <c r="H425" t="s">
        <v>31</v>
      </c>
      <c r="I425">
        <v>14</v>
      </c>
      <c r="J425">
        <v>30</v>
      </c>
      <c r="K425">
        <v>16</v>
      </c>
      <c r="L425">
        <v>14</v>
      </c>
      <c r="M425">
        <v>19</v>
      </c>
    </row>
    <row r="426" spans="1:23">
      <c r="A426">
        <v>425</v>
      </c>
      <c r="B426" s="1">
        <v>45337</v>
      </c>
      <c r="C426" s="1">
        <v>45434</v>
      </c>
      <c r="D426" s="29">
        <f>Tailordata[[#This Row],[DueDate]]-Tailordata[[#This Row],[Date]]</f>
        <v>97</v>
      </c>
      <c r="E426" t="s">
        <v>22</v>
      </c>
      <c r="F426" t="s">
        <v>23</v>
      </c>
      <c r="G426">
        <v>384</v>
      </c>
      <c r="H426" t="s">
        <v>28</v>
      </c>
      <c r="I426">
        <v>17</v>
      </c>
      <c r="J426">
        <v>30</v>
      </c>
      <c r="K426">
        <v>21</v>
      </c>
      <c r="L426">
        <v>18</v>
      </c>
      <c r="M426">
        <v>16</v>
      </c>
    </row>
    <row r="427" spans="1:23">
      <c r="A427">
        <v>426</v>
      </c>
      <c r="B427" s="1">
        <v>45395</v>
      </c>
      <c r="C427" s="1">
        <v>45417</v>
      </c>
      <c r="D427" s="29">
        <f>Tailordata[[#This Row],[DueDate]]-Tailordata[[#This Row],[Date]]</f>
        <v>22</v>
      </c>
      <c r="E427" t="s">
        <v>33</v>
      </c>
      <c r="F427" t="s">
        <v>30</v>
      </c>
      <c r="G427">
        <v>243</v>
      </c>
      <c r="H427" t="s">
        <v>31</v>
      </c>
      <c r="I427">
        <v>15</v>
      </c>
      <c r="J427">
        <v>41</v>
      </c>
      <c r="K427">
        <v>19</v>
      </c>
      <c r="L427">
        <v>20</v>
      </c>
      <c r="M427">
        <v>19</v>
      </c>
      <c r="N427">
        <v>28</v>
      </c>
      <c r="O427">
        <v>23</v>
      </c>
      <c r="Q427">
        <v>14</v>
      </c>
      <c r="R427">
        <v>19</v>
      </c>
    </row>
    <row r="428" spans="1:23">
      <c r="A428">
        <v>427</v>
      </c>
      <c r="B428" s="1">
        <v>45378</v>
      </c>
      <c r="C428" s="1">
        <v>45420</v>
      </c>
      <c r="D428" s="29">
        <f>Tailordata[[#This Row],[DueDate]]-Tailordata[[#This Row],[Date]]</f>
        <v>42</v>
      </c>
      <c r="E428" t="s">
        <v>27</v>
      </c>
      <c r="F428" t="s">
        <v>25</v>
      </c>
      <c r="G428">
        <v>155</v>
      </c>
      <c r="H428" t="s">
        <v>34</v>
      </c>
      <c r="I428">
        <v>19</v>
      </c>
      <c r="J428">
        <v>38</v>
      </c>
      <c r="K428">
        <v>22</v>
      </c>
      <c r="L428">
        <v>17</v>
      </c>
      <c r="N428">
        <v>35</v>
      </c>
      <c r="O428">
        <v>20</v>
      </c>
      <c r="P428">
        <v>15</v>
      </c>
    </row>
    <row r="429" spans="1:23">
      <c r="A429">
        <v>428</v>
      </c>
      <c r="B429" s="1">
        <v>45309</v>
      </c>
      <c r="C429" s="1">
        <v>45436</v>
      </c>
      <c r="D429" s="29">
        <f>Tailordata[[#This Row],[DueDate]]-Tailordata[[#This Row],[Date]]</f>
        <v>127</v>
      </c>
      <c r="E429" t="s">
        <v>33</v>
      </c>
      <c r="F429" t="s">
        <v>30</v>
      </c>
      <c r="G429">
        <v>245</v>
      </c>
      <c r="H429" t="s">
        <v>34</v>
      </c>
      <c r="I429">
        <v>22</v>
      </c>
      <c r="J429">
        <v>34</v>
      </c>
      <c r="K429">
        <v>14</v>
      </c>
      <c r="L429">
        <v>18</v>
      </c>
      <c r="M429">
        <v>18</v>
      </c>
      <c r="N429">
        <v>23</v>
      </c>
      <c r="O429">
        <v>24</v>
      </c>
      <c r="Q429">
        <v>23</v>
      </c>
      <c r="R429">
        <v>24</v>
      </c>
    </row>
    <row r="430" spans="1:23">
      <c r="A430">
        <v>429</v>
      </c>
      <c r="B430" s="1">
        <v>45370</v>
      </c>
      <c r="C430" s="1">
        <v>45415</v>
      </c>
      <c r="D430" s="29">
        <f>Tailordata[[#This Row],[DueDate]]-Tailordata[[#This Row],[Date]]</f>
        <v>45</v>
      </c>
      <c r="E430" t="s">
        <v>29</v>
      </c>
      <c r="F430" t="s">
        <v>23</v>
      </c>
      <c r="G430">
        <v>144</v>
      </c>
      <c r="H430" t="s">
        <v>28</v>
      </c>
      <c r="O430">
        <v>24</v>
      </c>
      <c r="Q430">
        <v>14</v>
      </c>
      <c r="R430">
        <v>15</v>
      </c>
      <c r="S430">
        <v>19</v>
      </c>
      <c r="T430">
        <v>20</v>
      </c>
      <c r="U430">
        <v>19</v>
      </c>
    </row>
    <row r="431" spans="1:23">
      <c r="A431">
        <v>430</v>
      </c>
      <c r="B431" s="1">
        <v>45314</v>
      </c>
      <c r="C431" s="1">
        <v>45429</v>
      </c>
      <c r="D431" s="29">
        <f>Tailordata[[#This Row],[DueDate]]-Tailordata[[#This Row],[Date]]</f>
        <v>115</v>
      </c>
      <c r="E431" t="s">
        <v>22</v>
      </c>
      <c r="F431" t="s">
        <v>23</v>
      </c>
      <c r="G431">
        <v>484</v>
      </c>
      <c r="H431" t="s">
        <v>24</v>
      </c>
      <c r="I431">
        <v>20</v>
      </c>
      <c r="J431">
        <v>32</v>
      </c>
      <c r="K431">
        <v>23</v>
      </c>
      <c r="L431">
        <v>22</v>
      </c>
      <c r="M431">
        <v>17</v>
      </c>
    </row>
    <row r="432" spans="1:23">
      <c r="A432">
        <v>431</v>
      </c>
      <c r="B432" s="1">
        <v>45308</v>
      </c>
      <c r="C432" s="1">
        <v>45433</v>
      </c>
      <c r="D432" s="29">
        <f>Tailordata[[#This Row],[DueDate]]-Tailordata[[#This Row],[Date]]</f>
        <v>125</v>
      </c>
      <c r="E432" t="s">
        <v>35</v>
      </c>
      <c r="F432" t="s">
        <v>30</v>
      </c>
      <c r="G432">
        <v>137</v>
      </c>
      <c r="H432" t="s">
        <v>24</v>
      </c>
      <c r="O432">
        <v>23</v>
      </c>
      <c r="P432">
        <v>18</v>
      </c>
      <c r="Q432">
        <v>20</v>
      </c>
      <c r="R432">
        <v>16</v>
      </c>
      <c r="U432">
        <v>16</v>
      </c>
      <c r="V432">
        <v>20</v>
      </c>
      <c r="W432">
        <v>15</v>
      </c>
    </row>
    <row r="433" spans="1:23">
      <c r="A433">
        <v>432</v>
      </c>
      <c r="B433" s="1">
        <v>45337</v>
      </c>
      <c r="C433" s="1">
        <v>45436</v>
      </c>
      <c r="D433" s="29">
        <f>Tailordata[[#This Row],[DueDate]]-Tailordata[[#This Row],[Date]]</f>
        <v>99</v>
      </c>
      <c r="E433" t="s">
        <v>27</v>
      </c>
      <c r="F433" t="s">
        <v>23</v>
      </c>
      <c r="G433">
        <v>206</v>
      </c>
      <c r="H433" t="s">
        <v>28</v>
      </c>
      <c r="I433">
        <v>17</v>
      </c>
      <c r="J433">
        <v>41</v>
      </c>
      <c r="K433">
        <v>21</v>
      </c>
      <c r="L433">
        <v>19</v>
      </c>
      <c r="N433">
        <v>30</v>
      </c>
      <c r="O433">
        <v>22</v>
      </c>
      <c r="P433">
        <v>15</v>
      </c>
    </row>
    <row r="434" spans="1:23">
      <c r="A434">
        <v>433</v>
      </c>
      <c r="B434" s="1">
        <v>45323</v>
      </c>
      <c r="C434" s="1">
        <v>45419</v>
      </c>
      <c r="D434" s="29">
        <f>Tailordata[[#This Row],[DueDate]]-Tailordata[[#This Row],[Date]]</f>
        <v>96</v>
      </c>
      <c r="E434" t="s">
        <v>33</v>
      </c>
      <c r="F434" t="s">
        <v>36</v>
      </c>
      <c r="G434">
        <v>403</v>
      </c>
      <c r="H434" t="s">
        <v>24</v>
      </c>
      <c r="I434">
        <v>22</v>
      </c>
      <c r="J434">
        <v>26</v>
      </c>
      <c r="K434">
        <v>15</v>
      </c>
      <c r="L434">
        <v>19</v>
      </c>
      <c r="M434">
        <v>20</v>
      </c>
      <c r="N434">
        <v>20</v>
      </c>
      <c r="O434">
        <v>23</v>
      </c>
      <c r="Q434">
        <v>18</v>
      </c>
      <c r="R434">
        <v>16</v>
      </c>
    </row>
    <row r="435" spans="1:23">
      <c r="A435">
        <v>434</v>
      </c>
      <c r="B435" s="1">
        <v>45372</v>
      </c>
      <c r="C435" s="1">
        <v>45431</v>
      </c>
      <c r="D435" s="29">
        <f>Tailordata[[#This Row],[DueDate]]-Tailordata[[#This Row],[Date]]</f>
        <v>59</v>
      </c>
      <c r="E435" t="s">
        <v>22</v>
      </c>
      <c r="F435" t="s">
        <v>23</v>
      </c>
      <c r="G435">
        <v>168</v>
      </c>
      <c r="H435" t="s">
        <v>28</v>
      </c>
      <c r="I435">
        <v>17</v>
      </c>
      <c r="J435">
        <v>26</v>
      </c>
      <c r="K435">
        <v>20</v>
      </c>
      <c r="L435">
        <v>16</v>
      </c>
      <c r="M435">
        <v>20</v>
      </c>
    </row>
    <row r="436" spans="1:23">
      <c r="A436">
        <v>435</v>
      </c>
      <c r="B436" s="1">
        <v>45331</v>
      </c>
      <c r="C436" s="1">
        <v>45419</v>
      </c>
      <c r="D436" s="29">
        <f>Tailordata[[#This Row],[DueDate]]-Tailordata[[#This Row],[Date]]</f>
        <v>88</v>
      </c>
      <c r="E436" t="s">
        <v>22</v>
      </c>
      <c r="F436" t="s">
        <v>23</v>
      </c>
      <c r="G436">
        <v>57</v>
      </c>
      <c r="H436" t="s">
        <v>26</v>
      </c>
      <c r="I436">
        <v>19</v>
      </c>
      <c r="J436">
        <v>31</v>
      </c>
      <c r="K436">
        <v>15</v>
      </c>
      <c r="L436">
        <v>16</v>
      </c>
      <c r="M436">
        <v>20</v>
      </c>
    </row>
    <row r="437" spans="1:23">
      <c r="A437">
        <v>436</v>
      </c>
      <c r="B437" s="1">
        <v>45395</v>
      </c>
      <c r="C437" s="1">
        <v>45426</v>
      </c>
      <c r="D437" s="29">
        <f>Tailordata[[#This Row],[DueDate]]-Tailordata[[#This Row],[Date]]</f>
        <v>31</v>
      </c>
      <c r="E437" t="s">
        <v>22</v>
      </c>
      <c r="F437" t="s">
        <v>25</v>
      </c>
      <c r="G437">
        <v>107</v>
      </c>
      <c r="H437" t="s">
        <v>24</v>
      </c>
      <c r="I437">
        <v>21</v>
      </c>
      <c r="J437">
        <v>33</v>
      </c>
      <c r="K437">
        <v>23</v>
      </c>
      <c r="L437">
        <v>15</v>
      </c>
      <c r="M437">
        <v>18</v>
      </c>
    </row>
    <row r="438" spans="1:23">
      <c r="A438">
        <v>437</v>
      </c>
      <c r="B438" s="1">
        <v>45369</v>
      </c>
      <c r="C438" s="1">
        <v>45431</v>
      </c>
      <c r="D438" s="29">
        <f>Tailordata[[#This Row],[DueDate]]-Tailordata[[#This Row],[Date]]</f>
        <v>62</v>
      </c>
      <c r="E438" t="s">
        <v>29</v>
      </c>
      <c r="F438" t="s">
        <v>23</v>
      </c>
      <c r="G438">
        <v>54</v>
      </c>
      <c r="H438" t="s">
        <v>34</v>
      </c>
      <c r="O438">
        <v>22</v>
      </c>
      <c r="Q438">
        <v>23</v>
      </c>
      <c r="R438">
        <v>14</v>
      </c>
      <c r="S438">
        <v>22</v>
      </c>
      <c r="T438">
        <v>19</v>
      </c>
      <c r="U438">
        <v>22</v>
      </c>
    </row>
    <row r="439" spans="1:23">
      <c r="A439">
        <v>438</v>
      </c>
      <c r="B439" s="1">
        <v>45335</v>
      </c>
      <c r="C439" s="1">
        <v>45429</v>
      </c>
      <c r="D439" s="29">
        <f>Tailordata[[#This Row],[DueDate]]-Tailordata[[#This Row],[Date]]</f>
        <v>94</v>
      </c>
      <c r="E439" t="s">
        <v>27</v>
      </c>
      <c r="F439" t="s">
        <v>32</v>
      </c>
      <c r="G439">
        <v>121</v>
      </c>
      <c r="H439" t="s">
        <v>34</v>
      </c>
      <c r="I439">
        <v>16</v>
      </c>
      <c r="J439">
        <v>33</v>
      </c>
      <c r="K439">
        <v>18</v>
      </c>
      <c r="L439">
        <v>17</v>
      </c>
      <c r="N439">
        <v>23</v>
      </c>
      <c r="O439">
        <v>24</v>
      </c>
      <c r="P439">
        <v>15</v>
      </c>
    </row>
    <row r="440" spans="1:23">
      <c r="A440">
        <v>439</v>
      </c>
      <c r="B440" s="1">
        <v>45363</v>
      </c>
      <c r="C440" s="1">
        <v>45411</v>
      </c>
      <c r="D440" s="29">
        <f>Tailordata[[#This Row],[DueDate]]-Tailordata[[#This Row],[Date]]</f>
        <v>48</v>
      </c>
      <c r="E440" t="s">
        <v>29</v>
      </c>
      <c r="F440" t="s">
        <v>36</v>
      </c>
      <c r="G440">
        <v>195</v>
      </c>
      <c r="H440" t="s">
        <v>24</v>
      </c>
      <c r="O440">
        <v>19</v>
      </c>
      <c r="Q440">
        <v>24</v>
      </c>
      <c r="R440">
        <v>24</v>
      </c>
      <c r="S440">
        <v>16</v>
      </c>
      <c r="T440">
        <v>14</v>
      </c>
      <c r="U440">
        <v>18</v>
      </c>
    </row>
    <row r="441" spans="1:23">
      <c r="A441">
        <v>440</v>
      </c>
      <c r="B441" s="1">
        <v>45307</v>
      </c>
      <c r="C441" s="1">
        <v>45430</v>
      </c>
      <c r="D441" s="29">
        <f>Tailordata[[#This Row],[DueDate]]-Tailordata[[#This Row],[Date]]</f>
        <v>123</v>
      </c>
      <c r="E441" t="s">
        <v>35</v>
      </c>
      <c r="F441" t="s">
        <v>23</v>
      </c>
      <c r="G441">
        <v>114</v>
      </c>
      <c r="H441" t="s">
        <v>24</v>
      </c>
      <c r="O441">
        <v>17</v>
      </c>
      <c r="P441">
        <v>15</v>
      </c>
      <c r="Q441">
        <v>15</v>
      </c>
      <c r="R441">
        <v>14</v>
      </c>
      <c r="U441">
        <v>23</v>
      </c>
      <c r="V441">
        <v>14</v>
      </c>
      <c r="W441">
        <v>17</v>
      </c>
    </row>
    <row r="442" spans="1:23">
      <c r="A442">
        <v>441</v>
      </c>
      <c r="B442" s="1">
        <v>45377</v>
      </c>
      <c r="C442" s="1">
        <v>45420</v>
      </c>
      <c r="D442" s="29">
        <f>Tailordata[[#This Row],[DueDate]]-Tailordata[[#This Row],[Date]]</f>
        <v>43</v>
      </c>
      <c r="E442" t="s">
        <v>22</v>
      </c>
      <c r="F442" t="s">
        <v>32</v>
      </c>
      <c r="G442">
        <v>209</v>
      </c>
      <c r="H442" t="s">
        <v>31</v>
      </c>
      <c r="I442">
        <v>24</v>
      </c>
      <c r="J442">
        <v>42</v>
      </c>
      <c r="K442">
        <v>17</v>
      </c>
      <c r="L442">
        <v>19</v>
      </c>
      <c r="M442">
        <v>22</v>
      </c>
    </row>
    <row r="443" spans="1:23">
      <c r="A443">
        <v>442</v>
      </c>
      <c r="B443" s="1">
        <v>45352</v>
      </c>
      <c r="C443" s="1">
        <v>45418</v>
      </c>
      <c r="D443" s="29">
        <f>Tailordata[[#This Row],[DueDate]]-Tailordata[[#This Row],[Date]]</f>
        <v>66</v>
      </c>
      <c r="E443" t="s">
        <v>22</v>
      </c>
      <c r="F443" t="s">
        <v>32</v>
      </c>
      <c r="G443">
        <v>404</v>
      </c>
      <c r="H443" t="s">
        <v>34</v>
      </c>
      <c r="I443">
        <v>16</v>
      </c>
      <c r="J443">
        <v>41</v>
      </c>
      <c r="K443">
        <v>14</v>
      </c>
      <c r="L443">
        <v>22</v>
      </c>
      <c r="M443">
        <v>22</v>
      </c>
    </row>
    <row r="444" spans="1:23">
      <c r="A444">
        <v>443</v>
      </c>
      <c r="B444" s="1">
        <v>45347</v>
      </c>
      <c r="C444" s="1">
        <v>45423</v>
      </c>
      <c r="D444" s="29">
        <f>Tailordata[[#This Row],[DueDate]]-Tailordata[[#This Row],[Date]]</f>
        <v>76</v>
      </c>
      <c r="E444" t="s">
        <v>22</v>
      </c>
      <c r="F444" t="s">
        <v>23</v>
      </c>
      <c r="G444">
        <v>246</v>
      </c>
      <c r="H444" t="s">
        <v>31</v>
      </c>
      <c r="I444">
        <v>18</v>
      </c>
      <c r="J444">
        <v>28</v>
      </c>
      <c r="K444">
        <v>18</v>
      </c>
      <c r="L444">
        <v>14</v>
      </c>
      <c r="M444">
        <v>18</v>
      </c>
    </row>
    <row r="445" spans="1:23">
      <c r="A445">
        <v>444</v>
      </c>
      <c r="B445" s="1">
        <v>45352</v>
      </c>
      <c r="C445" s="1">
        <v>45437</v>
      </c>
      <c r="D445" s="29">
        <f>Tailordata[[#This Row],[DueDate]]-Tailordata[[#This Row],[Date]]</f>
        <v>85</v>
      </c>
      <c r="E445" t="s">
        <v>27</v>
      </c>
      <c r="F445" t="s">
        <v>25</v>
      </c>
      <c r="G445">
        <v>419</v>
      </c>
      <c r="H445" t="s">
        <v>28</v>
      </c>
      <c r="I445">
        <v>16</v>
      </c>
      <c r="J445">
        <v>30</v>
      </c>
      <c r="K445">
        <v>15</v>
      </c>
      <c r="L445">
        <v>15</v>
      </c>
      <c r="N445">
        <v>22</v>
      </c>
      <c r="O445">
        <v>20</v>
      </c>
      <c r="P445">
        <v>24</v>
      </c>
    </row>
    <row r="446" spans="1:23">
      <c r="A446">
        <v>445</v>
      </c>
      <c r="B446" s="1">
        <v>45313</v>
      </c>
      <c r="C446" s="1">
        <v>45430</v>
      </c>
      <c r="D446" s="29">
        <f>Tailordata[[#This Row],[DueDate]]-Tailordata[[#This Row],[Date]]</f>
        <v>117</v>
      </c>
      <c r="E446" t="s">
        <v>29</v>
      </c>
      <c r="F446" t="s">
        <v>23</v>
      </c>
      <c r="G446">
        <v>258</v>
      </c>
      <c r="H446" t="s">
        <v>31</v>
      </c>
      <c r="O446">
        <v>21</v>
      </c>
      <c r="Q446">
        <v>22</v>
      </c>
      <c r="R446">
        <v>19</v>
      </c>
      <c r="S446">
        <v>18</v>
      </c>
      <c r="T446">
        <v>23</v>
      </c>
      <c r="U446">
        <v>14</v>
      </c>
    </row>
    <row r="447" spans="1:23">
      <c r="A447">
        <v>446</v>
      </c>
      <c r="B447" s="1">
        <v>45307</v>
      </c>
      <c r="C447" s="1">
        <v>45436</v>
      </c>
      <c r="D447" s="29">
        <f>Tailordata[[#This Row],[DueDate]]-Tailordata[[#This Row],[Date]]</f>
        <v>129</v>
      </c>
      <c r="E447" t="s">
        <v>27</v>
      </c>
      <c r="F447" t="s">
        <v>36</v>
      </c>
      <c r="G447">
        <v>490</v>
      </c>
      <c r="H447" t="s">
        <v>26</v>
      </c>
      <c r="I447">
        <v>20</v>
      </c>
      <c r="J447">
        <v>31</v>
      </c>
      <c r="K447">
        <v>17</v>
      </c>
      <c r="L447">
        <v>22</v>
      </c>
      <c r="N447">
        <v>43</v>
      </c>
      <c r="O447">
        <v>24</v>
      </c>
      <c r="P447">
        <v>16</v>
      </c>
    </row>
    <row r="448" spans="1:23">
      <c r="A448">
        <v>447</v>
      </c>
      <c r="B448" s="1">
        <v>45381</v>
      </c>
      <c r="C448" s="1">
        <v>45417</v>
      </c>
      <c r="D448" s="29">
        <f>Tailordata[[#This Row],[DueDate]]-Tailordata[[#This Row],[Date]]</f>
        <v>36</v>
      </c>
      <c r="E448" t="s">
        <v>33</v>
      </c>
      <c r="F448" t="s">
        <v>36</v>
      </c>
      <c r="G448">
        <v>353</v>
      </c>
      <c r="H448" t="s">
        <v>28</v>
      </c>
      <c r="I448">
        <v>14</v>
      </c>
      <c r="J448">
        <v>38</v>
      </c>
      <c r="K448">
        <v>14</v>
      </c>
      <c r="L448">
        <v>18</v>
      </c>
      <c r="M448">
        <v>24</v>
      </c>
      <c r="N448">
        <v>40</v>
      </c>
      <c r="O448">
        <v>22</v>
      </c>
      <c r="Q448">
        <v>22</v>
      </c>
      <c r="R448">
        <v>22</v>
      </c>
    </row>
    <row r="449" spans="1:23">
      <c r="A449">
        <v>448</v>
      </c>
      <c r="B449" s="1">
        <v>45382</v>
      </c>
      <c r="C449" s="1">
        <v>45428</v>
      </c>
      <c r="D449" s="29">
        <f>Tailordata[[#This Row],[DueDate]]-Tailordata[[#This Row],[Date]]</f>
        <v>46</v>
      </c>
      <c r="E449" t="s">
        <v>22</v>
      </c>
      <c r="F449" t="s">
        <v>25</v>
      </c>
      <c r="G449">
        <v>106</v>
      </c>
      <c r="H449" t="s">
        <v>34</v>
      </c>
      <c r="I449">
        <v>16</v>
      </c>
      <c r="J449">
        <v>28</v>
      </c>
      <c r="K449">
        <v>14</v>
      </c>
      <c r="L449">
        <v>23</v>
      </c>
      <c r="M449">
        <v>20</v>
      </c>
    </row>
    <row r="450" spans="1:23">
      <c r="A450">
        <v>449</v>
      </c>
      <c r="B450" s="1">
        <v>45331</v>
      </c>
      <c r="C450" s="1">
        <v>45433</v>
      </c>
      <c r="D450" s="29">
        <f>Tailordata[[#This Row],[DueDate]]-Tailordata[[#This Row],[Date]]</f>
        <v>102</v>
      </c>
      <c r="E450" t="s">
        <v>35</v>
      </c>
      <c r="F450" t="s">
        <v>23</v>
      </c>
      <c r="G450">
        <v>363</v>
      </c>
      <c r="H450" t="s">
        <v>26</v>
      </c>
      <c r="O450">
        <v>16</v>
      </c>
      <c r="P450">
        <v>14</v>
      </c>
      <c r="Q450">
        <v>20</v>
      </c>
      <c r="R450">
        <v>23</v>
      </c>
      <c r="U450">
        <v>23</v>
      </c>
      <c r="V450">
        <v>19</v>
      </c>
      <c r="W450">
        <v>22</v>
      </c>
    </row>
    <row r="451" spans="1:23">
      <c r="A451">
        <v>450</v>
      </c>
      <c r="B451" s="1">
        <v>45388</v>
      </c>
      <c r="C451" s="1">
        <v>45429</v>
      </c>
      <c r="D451" s="29">
        <f>Tailordata[[#This Row],[DueDate]]-Tailordata[[#This Row],[Date]]</f>
        <v>41</v>
      </c>
      <c r="E451" t="s">
        <v>27</v>
      </c>
      <c r="F451" t="s">
        <v>32</v>
      </c>
      <c r="G451">
        <v>289</v>
      </c>
      <c r="H451" t="s">
        <v>26</v>
      </c>
      <c r="I451">
        <v>15</v>
      </c>
      <c r="J451">
        <v>46</v>
      </c>
      <c r="K451">
        <v>17</v>
      </c>
      <c r="L451">
        <v>21</v>
      </c>
      <c r="N451">
        <v>35</v>
      </c>
      <c r="O451">
        <v>15</v>
      </c>
      <c r="P451">
        <v>21</v>
      </c>
    </row>
    <row r="452" spans="1:23">
      <c r="A452">
        <v>451</v>
      </c>
      <c r="B452" s="1">
        <v>45380</v>
      </c>
      <c r="C452" s="1">
        <v>45439</v>
      </c>
      <c r="D452" s="29">
        <f>Tailordata[[#This Row],[DueDate]]-Tailordata[[#This Row],[Date]]</f>
        <v>59</v>
      </c>
      <c r="E452" t="s">
        <v>27</v>
      </c>
      <c r="F452" t="s">
        <v>25</v>
      </c>
      <c r="G452">
        <v>329</v>
      </c>
      <c r="H452" t="s">
        <v>28</v>
      </c>
      <c r="I452">
        <v>19</v>
      </c>
      <c r="J452">
        <v>20</v>
      </c>
      <c r="K452">
        <v>22</v>
      </c>
      <c r="L452">
        <v>24</v>
      </c>
      <c r="N452">
        <v>38</v>
      </c>
      <c r="O452">
        <v>21</v>
      </c>
      <c r="P452">
        <v>21</v>
      </c>
    </row>
    <row r="453" spans="1:23">
      <c r="A453">
        <v>452</v>
      </c>
      <c r="B453" s="1">
        <v>45299</v>
      </c>
      <c r="C453" s="1">
        <v>45430</v>
      </c>
      <c r="D453" s="29">
        <f>Tailordata[[#This Row],[DueDate]]-Tailordata[[#This Row],[Date]]</f>
        <v>131</v>
      </c>
      <c r="E453" t="s">
        <v>22</v>
      </c>
      <c r="F453" t="s">
        <v>36</v>
      </c>
      <c r="G453">
        <v>458</v>
      </c>
      <c r="H453" t="s">
        <v>34</v>
      </c>
      <c r="I453">
        <v>21</v>
      </c>
      <c r="J453">
        <v>41</v>
      </c>
      <c r="K453">
        <v>24</v>
      </c>
      <c r="L453">
        <v>15</v>
      </c>
      <c r="M453">
        <v>16</v>
      </c>
    </row>
    <row r="454" spans="1:23">
      <c r="A454">
        <v>453</v>
      </c>
      <c r="B454" s="1">
        <v>45349</v>
      </c>
      <c r="C454" s="1">
        <v>45416</v>
      </c>
      <c r="D454" s="29">
        <f>Tailordata[[#This Row],[DueDate]]-Tailordata[[#This Row],[Date]]</f>
        <v>67</v>
      </c>
      <c r="E454" t="s">
        <v>29</v>
      </c>
      <c r="F454" t="s">
        <v>23</v>
      </c>
      <c r="G454">
        <v>458</v>
      </c>
      <c r="H454" t="s">
        <v>34</v>
      </c>
      <c r="O454">
        <v>24</v>
      </c>
      <c r="Q454">
        <v>20</v>
      </c>
      <c r="R454">
        <v>22</v>
      </c>
      <c r="S454">
        <v>21</v>
      </c>
      <c r="T454">
        <v>20</v>
      </c>
      <c r="U454">
        <v>14</v>
      </c>
    </row>
    <row r="455" spans="1:23">
      <c r="A455">
        <v>454</v>
      </c>
      <c r="B455" s="1">
        <v>45365</v>
      </c>
      <c r="C455" s="1">
        <v>45420</v>
      </c>
      <c r="D455" s="29">
        <f>Tailordata[[#This Row],[DueDate]]-Tailordata[[#This Row],[Date]]</f>
        <v>55</v>
      </c>
      <c r="E455" t="s">
        <v>27</v>
      </c>
      <c r="F455" t="s">
        <v>32</v>
      </c>
      <c r="G455">
        <v>50</v>
      </c>
      <c r="H455" t="s">
        <v>24</v>
      </c>
      <c r="I455">
        <v>20</v>
      </c>
      <c r="J455">
        <v>23</v>
      </c>
      <c r="K455">
        <v>22</v>
      </c>
      <c r="L455">
        <v>17</v>
      </c>
      <c r="N455">
        <v>42</v>
      </c>
      <c r="O455">
        <v>20</v>
      </c>
      <c r="P455">
        <v>20</v>
      </c>
    </row>
    <row r="456" spans="1:23">
      <c r="A456">
        <v>455</v>
      </c>
      <c r="B456" s="1">
        <v>45336</v>
      </c>
      <c r="C456" s="1">
        <v>45414</v>
      </c>
      <c r="D456" s="29">
        <f>Tailordata[[#This Row],[DueDate]]-Tailordata[[#This Row],[Date]]</f>
        <v>78</v>
      </c>
      <c r="E456" t="s">
        <v>35</v>
      </c>
      <c r="F456" t="s">
        <v>32</v>
      </c>
      <c r="G456">
        <v>487</v>
      </c>
      <c r="H456" t="s">
        <v>31</v>
      </c>
      <c r="O456">
        <v>16</v>
      </c>
      <c r="P456">
        <v>16</v>
      </c>
      <c r="Q456">
        <v>21</v>
      </c>
      <c r="R456">
        <v>15</v>
      </c>
      <c r="U456">
        <v>14</v>
      </c>
      <c r="V456">
        <v>23</v>
      </c>
      <c r="W456">
        <v>17</v>
      </c>
    </row>
    <row r="457" spans="1:23">
      <c r="A457">
        <v>456</v>
      </c>
      <c r="B457" s="1">
        <v>45325</v>
      </c>
      <c r="C457" s="1">
        <v>45428</v>
      </c>
      <c r="D457" s="29">
        <f>Tailordata[[#This Row],[DueDate]]-Tailordata[[#This Row],[Date]]</f>
        <v>103</v>
      </c>
      <c r="E457" t="s">
        <v>33</v>
      </c>
      <c r="F457" t="s">
        <v>23</v>
      </c>
      <c r="G457">
        <v>130</v>
      </c>
      <c r="H457" t="s">
        <v>34</v>
      </c>
      <c r="I457">
        <v>14</v>
      </c>
      <c r="J457">
        <v>42</v>
      </c>
      <c r="K457">
        <v>21</v>
      </c>
      <c r="L457">
        <v>23</v>
      </c>
      <c r="M457">
        <v>16</v>
      </c>
      <c r="N457">
        <v>29</v>
      </c>
      <c r="O457">
        <v>19</v>
      </c>
      <c r="Q457">
        <v>23</v>
      </c>
      <c r="R457">
        <v>16</v>
      </c>
    </row>
    <row r="458" spans="1:23">
      <c r="A458">
        <v>457</v>
      </c>
      <c r="B458" s="1">
        <v>45408</v>
      </c>
      <c r="C458" s="1">
        <v>45416</v>
      </c>
      <c r="D458" s="29">
        <f>Tailordata[[#This Row],[DueDate]]-Tailordata[[#This Row],[Date]]</f>
        <v>8</v>
      </c>
      <c r="E458" t="s">
        <v>27</v>
      </c>
      <c r="F458" t="s">
        <v>30</v>
      </c>
      <c r="G458">
        <v>344</v>
      </c>
      <c r="H458" t="s">
        <v>31</v>
      </c>
      <c r="I458">
        <v>19</v>
      </c>
      <c r="J458">
        <v>40</v>
      </c>
      <c r="K458">
        <v>17</v>
      </c>
      <c r="L458">
        <v>22</v>
      </c>
      <c r="N458">
        <v>25</v>
      </c>
      <c r="O458">
        <v>15</v>
      </c>
      <c r="P458">
        <v>24</v>
      </c>
    </row>
    <row r="459" spans="1:23">
      <c r="A459">
        <v>458</v>
      </c>
      <c r="B459" s="1">
        <v>45314</v>
      </c>
      <c r="C459" s="1">
        <v>45424</v>
      </c>
      <c r="D459" s="29">
        <f>Tailordata[[#This Row],[DueDate]]-Tailordata[[#This Row],[Date]]</f>
        <v>110</v>
      </c>
      <c r="E459" t="s">
        <v>29</v>
      </c>
      <c r="F459" t="s">
        <v>23</v>
      </c>
      <c r="G459">
        <v>366</v>
      </c>
      <c r="H459" t="s">
        <v>26</v>
      </c>
      <c r="O459">
        <v>17</v>
      </c>
      <c r="Q459">
        <v>24</v>
      </c>
      <c r="R459">
        <v>21</v>
      </c>
      <c r="S459">
        <v>15</v>
      </c>
      <c r="T459">
        <v>15</v>
      </c>
      <c r="U459">
        <v>15</v>
      </c>
    </row>
    <row r="460" spans="1:23">
      <c r="A460">
        <v>459</v>
      </c>
      <c r="B460" s="1">
        <v>45328</v>
      </c>
      <c r="C460" s="1">
        <v>45425</v>
      </c>
      <c r="D460" s="29">
        <f>Tailordata[[#This Row],[DueDate]]-Tailordata[[#This Row],[Date]]</f>
        <v>97</v>
      </c>
      <c r="E460" t="s">
        <v>33</v>
      </c>
      <c r="F460" t="s">
        <v>30</v>
      </c>
      <c r="G460">
        <v>210</v>
      </c>
      <c r="H460" t="s">
        <v>31</v>
      </c>
      <c r="I460">
        <v>22</v>
      </c>
      <c r="J460">
        <v>44</v>
      </c>
      <c r="K460">
        <v>24</v>
      </c>
      <c r="L460">
        <v>23</v>
      </c>
      <c r="M460">
        <v>18</v>
      </c>
      <c r="N460">
        <v>41</v>
      </c>
      <c r="O460">
        <v>17</v>
      </c>
      <c r="Q460">
        <v>15</v>
      </c>
      <c r="R460">
        <v>15</v>
      </c>
    </row>
    <row r="461" spans="1:23">
      <c r="A461">
        <v>460</v>
      </c>
      <c r="B461" s="1">
        <v>45390</v>
      </c>
      <c r="C461" s="1">
        <v>45424</v>
      </c>
      <c r="D461" s="29">
        <f>Tailordata[[#This Row],[DueDate]]-Tailordata[[#This Row],[Date]]</f>
        <v>34</v>
      </c>
      <c r="E461" t="s">
        <v>29</v>
      </c>
      <c r="F461" t="s">
        <v>32</v>
      </c>
      <c r="G461">
        <v>331</v>
      </c>
      <c r="H461" t="s">
        <v>24</v>
      </c>
      <c r="O461">
        <v>20</v>
      </c>
      <c r="Q461">
        <v>14</v>
      </c>
      <c r="R461">
        <v>18</v>
      </c>
      <c r="S461">
        <v>20</v>
      </c>
      <c r="T461">
        <v>21</v>
      </c>
      <c r="U461">
        <v>21</v>
      </c>
    </row>
    <row r="462" spans="1:23">
      <c r="A462">
        <v>461</v>
      </c>
      <c r="B462" s="1">
        <v>45377</v>
      </c>
      <c r="C462" s="1">
        <v>45439</v>
      </c>
      <c r="D462" s="29">
        <f>Tailordata[[#This Row],[DueDate]]-Tailordata[[#This Row],[Date]]</f>
        <v>62</v>
      </c>
      <c r="E462" t="s">
        <v>27</v>
      </c>
      <c r="F462" t="s">
        <v>23</v>
      </c>
      <c r="G462">
        <v>109</v>
      </c>
      <c r="H462" t="s">
        <v>28</v>
      </c>
      <c r="I462">
        <v>17</v>
      </c>
      <c r="J462">
        <v>20</v>
      </c>
      <c r="K462">
        <v>16</v>
      </c>
      <c r="L462">
        <v>23</v>
      </c>
      <c r="N462">
        <v>34</v>
      </c>
      <c r="O462">
        <v>14</v>
      </c>
      <c r="P462">
        <v>18</v>
      </c>
    </row>
    <row r="463" spans="1:23">
      <c r="A463">
        <v>462</v>
      </c>
      <c r="B463" s="1">
        <v>45339</v>
      </c>
      <c r="C463" s="1">
        <v>45430</v>
      </c>
      <c r="D463" s="29">
        <f>Tailordata[[#This Row],[DueDate]]-Tailordata[[#This Row],[Date]]</f>
        <v>91</v>
      </c>
      <c r="E463" t="s">
        <v>22</v>
      </c>
      <c r="F463" t="s">
        <v>32</v>
      </c>
      <c r="G463">
        <v>295</v>
      </c>
      <c r="H463" t="s">
        <v>31</v>
      </c>
      <c r="I463">
        <v>15</v>
      </c>
      <c r="J463">
        <v>47</v>
      </c>
      <c r="K463">
        <v>15</v>
      </c>
      <c r="L463">
        <v>19</v>
      </c>
      <c r="M463">
        <v>16</v>
      </c>
    </row>
    <row r="464" spans="1:23">
      <c r="A464">
        <v>463</v>
      </c>
      <c r="B464" s="1">
        <v>45352</v>
      </c>
      <c r="C464" s="1">
        <v>45422</v>
      </c>
      <c r="D464" s="29">
        <f>Tailordata[[#This Row],[DueDate]]-Tailordata[[#This Row],[Date]]</f>
        <v>70</v>
      </c>
      <c r="E464" t="s">
        <v>33</v>
      </c>
      <c r="F464" t="s">
        <v>32</v>
      </c>
      <c r="G464">
        <v>345</v>
      </c>
      <c r="H464" t="s">
        <v>24</v>
      </c>
      <c r="I464">
        <v>14</v>
      </c>
      <c r="J464">
        <v>46</v>
      </c>
      <c r="K464">
        <v>21</v>
      </c>
      <c r="L464">
        <v>24</v>
      </c>
      <c r="M464">
        <v>18</v>
      </c>
      <c r="N464">
        <v>28</v>
      </c>
      <c r="O464">
        <v>21</v>
      </c>
      <c r="Q464">
        <v>22</v>
      </c>
      <c r="R464">
        <v>22</v>
      </c>
    </row>
    <row r="465" spans="1:21">
      <c r="A465">
        <v>464</v>
      </c>
      <c r="B465" s="1">
        <v>45305</v>
      </c>
      <c r="C465" s="1">
        <v>45432</v>
      </c>
      <c r="D465" s="29">
        <f>Tailordata[[#This Row],[DueDate]]-Tailordata[[#This Row],[Date]]</f>
        <v>127</v>
      </c>
      <c r="E465" t="s">
        <v>27</v>
      </c>
      <c r="F465" t="s">
        <v>36</v>
      </c>
      <c r="G465">
        <v>232</v>
      </c>
      <c r="H465" t="s">
        <v>26</v>
      </c>
      <c r="I465">
        <v>19</v>
      </c>
      <c r="J465">
        <v>20</v>
      </c>
      <c r="K465">
        <v>24</v>
      </c>
      <c r="L465">
        <v>18</v>
      </c>
      <c r="N465">
        <v>25</v>
      </c>
      <c r="O465">
        <v>18</v>
      </c>
      <c r="P465">
        <v>15</v>
      </c>
    </row>
    <row r="466" spans="1:21">
      <c r="A466">
        <v>465</v>
      </c>
      <c r="B466" s="1">
        <v>45301</v>
      </c>
      <c r="C466" s="1">
        <v>45419</v>
      </c>
      <c r="D466" s="29">
        <f>Tailordata[[#This Row],[DueDate]]-Tailordata[[#This Row],[Date]]</f>
        <v>118</v>
      </c>
      <c r="E466" t="s">
        <v>29</v>
      </c>
      <c r="F466" t="s">
        <v>30</v>
      </c>
      <c r="G466">
        <v>129</v>
      </c>
      <c r="H466" t="s">
        <v>31</v>
      </c>
      <c r="O466">
        <v>14</v>
      </c>
      <c r="Q466">
        <v>21</v>
      </c>
      <c r="R466">
        <v>16</v>
      </c>
      <c r="S466">
        <v>23</v>
      </c>
      <c r="T466">
        <v>24</v>
      </c>
      <c r="U466">
        <v>15</v>
      </c>
    </row>
    <row r="467" spans="1:21">
      <c r="A467">
        <v>466</v>
      </c>
      <c r="B467" s="1">
        <v>45297</v>
      </c>
      <c r="C467" s="1">
        <v>45415</v>
      </c>
      <c r="D467" s="29">
        <f>Tailordata[[#This Row],[DueDate]]-Tailordata[[#This Row],[Date]]</f>
        <v>118</v>
      </c>
      <c r="E467" t="s">
        <v>29</v>
      </c>
      <c r="F467" t="s">
        <v>30</v>
      </c>
      <c r="G467">
        <v>240</v>
      </c>
      <c r="H467" t="s">
        <v>24</v>
      </c>
      <c r="O467">
        <v>20</v>
      </c>
      <c r="Q467">
        <v>14</v>
      </c>
      <c r="R467">
        <v>15</v>
      </c>
      <c r="S467">
        <v>22</v>
      </c>
      <c r="T467">
        <v>24</v>
      </c>
      <c r="U467">
        <v>21</v>
      </c>
    </row>
    <row r="468" spans="1:21">
      <c r="A468">
        <v>467</v>
      </c>
      <c r="B468" s="1">
        <v>45365</v>
      </c>
      <c r="C468" s="1">
        <v>45428</v>
      </c>
      <c r="D468" s="29">
        <f>Tailordata[[#This Row],[DueDate]]-Tailordata[[#This Row],[Date]]</f>
        <v>63</v>
      </c>
      <c r="E468" t="s">
        <v>27</v>
      </c>
      <c r="F468" t="s">
        <v>36</v>
      </c>
      <c r="G468">
        <v>331</v>
      </c>
      <c r="H468" t="s">
        <v>34</v>
      </c>
      <c r="I468">
        <v>16</v>
      </c>
      <c r="J468">
        <v>36</v>
      </c>
      <c r="K468">
        <v>15</v>
      </c>
      <c r="L468">
        <v>17</v>
      </c>
      <c r="N468">
        <v>47</v>
      </c>
      <c r="O468">
        <v>20</v>
      </c>
      <c r="P468">
        <v>20</v>
      </c>
    </row>
    <row r="469" spans="1:21">
      <c r="A469">
        <v>468</v>
      </c>
      <c r="B469" s="1">
        <v>45363</v>
      </c>
      <c r="C469" s="1">
        <v>45427</v>
      </c>
      <c r="D469" s="29">
        <f>Tailordata[[#This Row],[DueDate]]-Tailordata[[#This Row],[Date]]</f>
        <v>64</v>
      </c>
      <c r="E469" t="s">
        <v>29</v>
      </c>
      <c r="F469" t="s">
        <v>23</v>
      </c>
      <c r="G469">
        <v>490</v>
      </c>
      <c r="H469" t="s">
        <v>28</v>
      </c>
      <c r="O469">
        <v>22</v>
      </c>
      <c r="Q469">
        <v>20</v>
      </c>
      <c r="R469">
        <v>15</v>
      </c>
      <c r="S469">
        <v>17</v>
      </c>
      <c r="T469">
        <v>22</v>
      </c>
      <c r="U469">
        <v>23</v>
      </c>
    </row>
    <row r="470" spans="1:21">
      <c r="A470">
        <v>469</v>
      </c>
      <c r="B470" s="1">
        <v>45309</v>
      </c>
      <c r="C470" s="1">
        <v>45418</v>
      </c>
      <c r="D470" s="29">
        <f>Tailordata[[#This Row],[DueDate]]-Tailordata[[#This Row],[Date]]</f>
        <v>109</v>
      </c>
      <c r="E470" t="s">
        <v>33</v>
      </c>
      <c r="F470" t="s">
        <v>32</v>
      </c>
      <c r="G470">
        <v>402</v>
      </c>
      <c r="H470" t="s">
        <v>31</v>
      </c>
      <c r="I470">
        <v>24</v>
      </c>
      <c r="J470">
        <v>41</v>
      </c>
      <c r="K470">
        <v>18</v>
      </c>
      <c r="L470">
        <v>22</v>
      </c>
      <c r="M470">
        <v>22</v>
      </c>
      <c r="N470">
        <v>26</v>
      </c>
      <c r="O470">
        <v>15</v>
      </c>
      <c r="Q470">
        <v>15</v>
      </c>
      <c r="R470">
        <v>20</v>
      </c>
    </row>
    <row r="471" spans="1:21">
      <c r="A471">
        <v>470</v>
      </c>
      <c r="B471" s="1">
        <v>45373</v>
      </c>
      <c r="C471" s="1">
        <v>45427</v>
      </c>
      <c r="D471" s="29">
        <f>Tailordata[[#This Row],[DueDate]]-Tailordata[[#This Row],[Date]]</f>
        <v>54</v>
      </c>
      <c r="E471" t="s">
        <v>33</v>
      </c>
      <c r="F471" t="s">
        <v>36</v>
      </c>
      <c r="G471">
        <v>135</v>
      </c>
      <c r="H471" t="s">
        <v>34</v>
      </c>
      <c r="I471">
        <v>22</v>
      </c>
      <c r="J471">
        <v>32</v>
      </c>
      <c r="K471">
        <v>14</v>
      </c>
      <c r="L471">
        <v>23</v>
      </c>
      <c r="M471">
        <v>20</v>
      </c>
      <c r="N471">
        <v>32</v>
      </c>
      <c r="O471">
        <v>14</v>
      </c>
      <c r="Q471">
        <v>15</v>
      </c>
      <c r="R471">
        <v>15</v>
      </c>
    </row>
    <row r="472" spans="1:21">
      <c r="A472">
        <v>471</v>
      </c>
      <c r="B472" s="1">
        <v>45328</v>
      </c>
      <c r="C472" s="1">
        <v>45435</v>
      </c>
      <c r="D472" s="29">
        <f>Tailordata[[#This Row],[DueDate]]-Tailordata[[#This Row],[Date]]</f>
        <v>107</v>
      </c>
      <c r="E472" t="s">
        <v>29</v>
      </c>
      <c r="F472" t="s">
        <v>36</v>
      </c>
      <c r="G472">
        <v>433</v>
      </c>
      <c r="H472" t="s">
        <v>24</v>
      </c>
      <c r="O472">
        <v>14</v>
      </c>
      <c r="Q472">
        <v>20</v>
      </c>
      <c r="R472">
        <v>19</v>
      </c>
      <c r="S472">
        <v>24</v>
      </c>
      <c r="T472">
        <v>21</v>
      </c>
      <c r="U472">
        <v>20</v>
      </c>
    </row>
    <row r="473" spans="1:21">
      <c r="A473">
        <v>472</v>
      </c>
      <c r="B473" s="1">
        <v>45349</v>
      </c>
      <c r="C473" s="1">
        <v>45419</v>
      </c>
      <c r="D473" s="29">
        <f>Tailordata[[#This Row],[DueDate]]-Tailordata[[#This Row],[Date]]</f>
        <v>70</v>
      </c>
      <c r="E473" t="s">
        <v>22</v>
      </c>
      <c r="F473" t="s">
        <v>23</v>
      </c>
      <c r="G473">
        <v>307</v>
      </c>
      <c r="H473" t="s">
        <v>31</v>
      </c>
      <c r="I473">
        <v>18</v>
      </c>
      <c r="J473">
        <v>48</v>
      </c>
      <c r="K473">
        <v>21</v>
      </c>
      <c r="L473">
        <v>24</v>
      </c>
      <c r="M473">
        <v>21</v>
      </c>
    </row>
    <row r="474" spans="1:21">
      <c r="A474">
        <v>473</v>
      </c>
      <c r="B474" s="1">
        <v>45369</v>
      </c>
      <c r="C474" s="1">
        <v>45434</v>
      </c>
      <c r="D474" s="29">
        <f>Tailordata[[#This Row],[DueDate]]-Tailordata[[#This Row],[Date]]</f>
        <v>65</v>
      </c>
      <c r="E474" t="s">
        <v>33</v>
      </c>
      <c r="F474" t="s">
        <v>25</v>
      </c>
      <c r="G474">
        <v>483</v>
      </c>
      <c r="H474" t="s">
        <v>24</v>
      </c>
      <c r="I474">
        <v>21</v>
      </c>
      <c r="J474">
        <v>33</v>
      </c>
      <c r="K474">
        <v>16</v>
      </c>
      <c r="L474">
        <v>14</v>
      </c>
      <c r="M474">
        <v>20</v>
      </c>
      <c r="N474">
        <v>29</v>
      </c>
      <c r="O474">
        <v>17</v>
      </c>
      <c r="Q474">
        <v>24</v>
      </c>
      <c r="R474">
        <v>23</v>
      </c>
    </row>
    <row r="475" spans="1:21">
      <c r="A475">
        <v>474</v>
      </c>
      <c r="B475" s="1">
        <v>45374</v>
      </c>
      <c r="C475" s="1">
        <v>45433</v>
      </c>
      <c r="D475" s="29">
        <f>Tailordata[[#This Row],[DueDate]]-Tailordata[[#This Row],[Date]]</f>
        <v>59</v>
      </c>
      <c r="E475" t="s">
        <v>29</v>
      </c>
      <c r="F475" t="s">
        <v>36</v>
      </c>
      <c r="G475">
        <v>316</v>
      </c>
      <c r="H475" t="s">
        <v>24</v>
      </c>
      <c r="O475">
        <v>22</v>
      </c>
      <c r="Q475">
        <v>14</v>
      </c>
      <c r="R475">
        <v>14</v>
      </c>
      <c r="S475">
        <v>18</v>
      </c>
      <c r="T475">
        <v>16</v>
      </c>
      <c r="U475">
        <v>23</v>
      </c>
    </row>
    <row r="476" spans="1:21">
      <c r="A476">
        <v>475</v>
      </c>
      <c r="B476" s="1">
        <v>45323</v>
      </c>
      <c r="C476" s="1">
        <v>45440</v>
      </c>
      <c r="D476" s="29">
        <f>Tailordata[[#This Row],[DueDate]]-Tailordata[[#This Row],[Date]]</f>
        <v>117</v>
      </c>
      <c r="E476" t="s">
        <v>33</v>
      </c>
      <c r="F476" t="s">
        <v>30</v>
      </c>
      <c r="G476">
        <v>425</v>
      </c>
      <c r="H476" t="s">
        <v>28</v>
      </c>
      <c r="I476">
        <v>14</v>
      </c>
      <c r="J476">
        <v>23</v>
      </c>
      <c r="K476">
        <v>17</v>
      </c>
      <c r="L476">
        <v>14</v>
      </c>
      <c r="M476">
        <v>17</v>
      </c>
      <c r="N476">
        <v>31</v>
      </c>
      <c r="O476">
        <v>18</v>
      </c>
      <c r="Q476">
        <v>17</v>
      </c>
      <c r="R476">
        <v>18</v>
      </c>
    </row>
    <row r="477" spans="1:21">
      <c r="A477">
        <v>476</v>
      </c>
      <c r="B477" s="1">
        <v>45349</v>
      </c>
      <c r="C477" s="1">
        <v>45426</v>
      </c>
      <c r="D477" s="29">
        <f>Tailordata[[#This Row],[DueDate]]-Tailordata[[#This Row],[Date]]</f>
        <v>77</v>
      </c>
      <c r="E477" t="s">
        <v>27</v>
      </c>
      <c r="F477" t="s">
        <v>30</v>
      </c>
      <c r="G477">
        <v>190</v>
      </c>
      <c r="H477" t="s">
        <v>31</v>
      </c>
      <c r="I477">
        <v>22</v>
      </c>
      <c r="J477">
        <v>48</v>
      </c>
      <c r="K477">
        <v>21</v>
      </c>
      <c r="L477">
        <v>16</v>
      </c>
      <c r="N477">
        <v>41</v>
      </c>
      <c r="O477">
        <v>15</v>
      </c>
      <c r="P477">
        <v>17</v>
      </c>
    </row>
    <row r="478" spans="1:21">
      <c r="A478">
        <v>477</v>
      </c>
      <c r="B478" s="1">
        <v>45324</v>
      </c>
      <c r="C478" s="1">
        <v>45416</v>
      </c>
      <c r="D478" s="29">
        <f>Tailordata[[#This Row],[DueDate]]-Tailordata[[#This Row],[Date]]</f>
        <v>92</v>
      </c>
      <c r="E478" t="s">
        <v>29</v>
      </c>
      <c r="F478" t="s">
        <v>36</v>
      </c>
      <c r="G478">
        <v>366</v>
      </c>
      <c r="H478" t="s">
        <v>28</v>
      </c>
      <c r="O478">
        <v>23</v>
      </c>
      <c r="Q478">
        <v>15</v>
      </c>
      <c r="R478">
        <v>19</v>
      </c>
      <c r="S478">
        <v>24</v>
      </c>
      <c r="T478">
        <v>18</v>
      </c>
      <c r="U478">
        <v>19</v>
      </c>
    </row>
    <row r="479" spans="1:21">
      <c r="A479">
        <v>478</v>
      </c>
      <c r="B479" s="1">
        <v>45354</v>
      </c>
      <c r="C479" s="1">
        <v>45421</v>
      </c>
      <c r="D479" s="29">
        <f>Tailordata[[#This Row],[DueDate]]-Tailordata[[#This Row],[Date]]</f>
        <v>67</v>
      </c>
      <c r="E479" t="s">
        <v>29</v>
      </c>
      <c r="F479" t="s">
        <v>36</v>
      </c>
      <c r="G479">
        <v>92</v>
      </c>
      <c r="H479" t="s">
        <v>31</v>
      </c>
      <c r="O479">
        <v>22</v>
      </c>
      <c r="Q479">
        <v>17</v>
      </c>
      <c r="R479">
        <v>23</v>
      </c>
      <c r="S479">
        <v>20</v>
      </c>
      <c r="T479">
        <v>16</v>
      </c>
      <c r="U479">
        <v>19</v>
      </c>
    </row>
    <row r="480" spans="1:21">
      <c r="A480">
        <v>479</v>
      </c>
      <c r="B480" s="1">
        <v>45295</v>
      </c>
      <c r="C480" s="1">
        <v>45416</v>
      </c>
      <c r="D480" s="29">
        <f>Tailordata[[#This Row],[DueDate]]-Tailordata[[#This Row],[Date]]</f>
        <v>121</v>
      </c>
      <c r="E480" t="s">
        <v>27</v>
      </c>
      <c r="F480" t="s">
        <v>30</v>
      </c>
      <c r="G480">
        <v>229</v>
      </c>
      <c r="H480" t="s">
        <v>31</v>
      </c>
      <c r="I480">
        <v>14</v>
      </c>
      <c r="J480">
        <v>41</v>
      </c>
      <c r="K480">
        <v>18</v>
      </c>
      <c r="L480">
        <v>16</v>
      </c>
      <c r="N480">
        <v>21</v>
      </c>
      <c r="O480">
        <v>17</v>
      </c>
      <c r="P480">
        <v>15</v>
      </c>
    </row>
    <row r="481" spans="1:23">
      <c r="A481">
        <v>480</v>
      </c>
      <c r="B481" s="1">
        <v>45306</v>
      </c>
      <c r="C481" s="1">
        <v>45418</v>
      </c>
      <c r="D481" s="29">
        <f>Tailordata[[#This Row],[DueDate]]-Tailordata[[#This Row],[Date]]</f>
        <v>112</v>
      </c>
      <c r="E481" t="s">
        <v>33</v>
      </c>
      <c r="F481" t="s">
        <v>25</v>
      </c>
      <c r="G481">
        <v>388</v>
      </c>
      <c r="H481" t="s">
        <v>28</v>
      </c>
      <c r="I481">
        <v>19</v>
      </c>
      <c r="J481">
        <v>46</v>
      </c>
      <c r="K481">
        <v>23</v>
      </c>
      <c r="L481">
        <v>15</v>
      </c>
      <c r="M481">
        <v>16</v>
      </c>
      <c r="N481">
        <v>43</v>
      </c>
      <c r="O481">
        <v>24</v>
      </c>
      <c r="Q481">
        <v>24</v>
      </c>
      <c r="R481">
        <v>24</v>
      </c>
    </row>
    <row r="482" spans="1:23">
      <c r="A482">
        <v>481</v>
      </c>
      <c r="B482" s="1">
        <v>45324</v>
      </c>
      <c r="C482" s="1">
        <v>45420</v>
      </c>
      <c r="D482" s="29">
        <f>Tailordata[[#This Row],[DueDate]]-Tailordata[[#This Row],[Date]]</f>
        <v>96</v>
      </c>
      <c r="E482" t="s">
        <v>22</v>
      </c>
      <c r="F482" t="s">
        <v>32</v>
      </c>
      <c r="G482">
        <v>340</v>
      </c>
      <c r="H482" t="s">
        <v>24</v>
      </c>
      <c r="I482">
        <v>21</v>
      </c>
      <c r="J482">
        <v>44</v>
      </c>
      <c r="K482">
        <v>24</v>
      </c>
      <c r="L482">
        <v>18</v>
      </c>
      <c r="M482">
        <v>17</v>
      </c>
    </row>
    <row r="483" spans="1:23">
      <c r="A483">
        <v>482</v>
      </c>
      <c r="B483" s="1">
        <v>45326</v>
      </c>
      <c r="C483" s="1">
        <v>45429</v>
      </c>
      <c r="D483" s="29">
        <f>Tailordata[[#This Row],[DueDate]]-Tailordata[[#This Row],[Date]]</f>
        <v>103</v>
      </c>
      <c r="E483" t="s">
        <v>33</v>
      </c>
      <c r="F483" t="s">
        <v>32</v>
      </c>
      <c r="G483">
        <v>237</v>
      </c>
      <c r="H483" t="s">
        <v>28</v>
      </c>
      <c r="I483">
        <v>14</v>
      </c>
      <c r="J483">
        <v>31</v>
      </c>
      <c r="K483">
        <v>22</v>
      </c>
      <c r="L483">
        <v>23</v>
      </c>
      <c r="M483">
        <v>19</v>
      </c>
      <c r="N483">
        <v>43</v>
      </c>
      <c r="O483">
        <v>21</v>
      </c>
      <c r="Q483">
        <v>18</v>
      </c>
      <c r="R483">
        <v>21</v>
      </c>
    </row>
    <row r="484" spans="1:23">
      <c r="A484">
        <v>483</v>
      </c>
      <c r="B484" s="1">
        <v>45314</v>
      </c>
      <c r="C484" s="1">
        <v>45423</v>
      </c>
      <c r="D484" s="29">
        <f>Tailordata[[#This Row],[DueDate]]-Tailordata[[#This Row],[Date]]</f>
        <v>109</v>
      </c>
      <c r="E484" t="s">
        <v>22</v>
      </c>
      <c r="F484" t="s">
        <v>25</v>
      </c>
      <c r="G484">
        <v>421</v>
      </c>
      <c r="H484" t="s">
        <v>24</v>
      </c>
      <c r="I484">
        <v>14</v>
      </c>
      <c r="J484">
        <v>39</v>
      </c>
      <c r="K484">
        <v>24</v>
      </c>
      <c r="L484">
        <v>16</v>
      </c>
      <c r="M484">
        <v>23</v>
      </c>
    </row>
    <row r="485" spans="1:23">
      <c r="A485">
        <v>484</v>
      </c>
      <c r="B485" s="1">
        <v>45391</v>
      </c>
      <c r="C485" s="1">
        <v>45427</v>
      </c>
      <c r="D485" s="29">
        <f>Tailordata[[#This Row],[DueDate]]-Tailordata[[#This Row],[Date]]</f>
        <v>36</v>
      </c>
      <c r="E485" t="s">
        <v>35</v>
      </c>
      <c r="F485" t="s">
        <v>32</v>
      </c>
      <c r="G485">
        <v>130</v>
      </c>
      <c r="H485" t="s">
        <v>26</v>
      </c>
      <c r="O485">
        <v>18</v>
      </c>
      <c r="P485">
        <v>19</v>
      </c>
      <c r="Q485">
        <v>14</v>
      </c>
      <c r="R485">
        <v>15</v>
      </c>
      <c r="U485">
        <v>19</v>
      </c>
      <c r="V485">
        <v>24</v>
      </c>
      <c r="W485">
        <v>15</v>
      </c>
    </row>
    <row r="486" spans="1:23">
      <c r="A486">
        <v>485</v>
      </c>
      <c r="B486" s="1">
        <v>45393</v>
      </c>
      <c r="C486" s="1">
        <v>45440</v>
      </c>
      <c r="D486" s="29">
        <f>Tailordata[[#This Row],[DueDate]]-Tailordata[[#This Row],[Date]]</f>
        <v>47</v>
      </c>
      <c r="E486" t="s">
        <v>35</v>
      </c>
      <c r="F486" t="s">
        <v>36</v>
      </c>
      <c r="G486">
        <v>172</v>
      </c>
      <c r="H486" t="s">
        <v>28</v>
      </c>
      <c r="O486">
        <v>17</v>
      </c>
      <c r="P486">
        <v>18</v>
      </c>
      <c r="Q486">
        <v>18</v>
      </c>
      <c r="R486">
        <v>24</v>
      </c>
      <c r="U486">
        <v>16</v>
      </c>
      <c r="V486">
        <v>21</v>
      </c>
      <c r="W486">
        <v>16</v>
      </c>
    </row>
    <row r="487" spans="1:23">
      <c r="A487">
        <v>486</v>
      </c>
      <c r="B487" s="1">
        <v>45304</v>
      </c>
      <c r="C487" s="1">
        <v>45432</v>
      </c>
      <c r="D487" s="29">
        <f>Tailordata[[#This Row],[DueDate]]-Tailordata[[#This Row],[Date]]</f>
        <v>128</v>
      </c>
      <c r="E487" t="s">
        <v>35</v>
      </c>
      <c r="F487" t="s">
        <v>36</v>
      </c>
      <c r="G487">
        <v>230</v>
      </c>
      <c r="H487" t="s">
        <v>34</v>
      </c>
      <c r="O487">
        <v>16</v>
      </c>
      <c r="P487">
        <v>24</v>
      </c>
      <c r="Q487">
        <v>17</v>
      </c>
      <c r="R487">
        <v>24</v>
      </c>
      <c r="U487">
        <v>19</v>
      </c>
      <c r="V487">
        <v>21</v>
      </c>
      <c r="W487">
        <v>24</v>
      </c>
    </row>
    <row r="488" spans="1:23">
      <c r="A488">
        <v>487</v>
      </c>
      <c r="B488" s="1">
        <v>45396</v>
      </c>
      <c r="C488" s="1">
        <v>45430</v>
      </c>
      <c r="D488" s="29">
        <f>Tailordata[[#This Row],[DueDate]]-Tailordata[[#This Row],[Date]]</f>
        <v>34</v>
      </c>
      <c r="E488" t="s">
        <v>22</v>
      </c>
      <c r="F488" t="s">
        <v>36</v>
      </c>
      <c r="G488">
        <v>165</v>
      </c>
      <c r="H488" t="s">
        <v>24</v>
      </c>
      <c r="I488">
        <v>15</v>
      </c>
      <c r="J488">
        <v>38</v>
      </c>
      <c r="K488">
        <v>19</v>
      </c>
      <c r="L488">
        <v>14</v>
      </c>
      <c r="M488">
        <v>24</v>
      </c>
    </row>
    <row r="489" spans="1:23">
      <c r="A489">
        <v>488</v>
      </c>
      <c r="B489" s="1">
        <v>45340</v>
      </c>
      <c r="C489" s="1">
        <v>45412</v>
      </c>
      <c r="D489" s="29">
        <f>Tailordata[[#This Row],[DueDate]]-Tailordata[[#This Row],[Date]]</f>
        <v>72</v>
      </c>
      <c r="E489" t="s">
        <v>33</v>
      </c>
      <c r="F489" t="s">
        <v>30</v>
      </c>
      <c r="G489">
        <v>159</v>
      </c>
      <c r="H489" t="s">
        <v>34</v>
      </c>
      <c r="I489">
        <v>16</v>
      </c>
      <c r="J489">
        <v>47</v>
      </c>
      <c r="K489">
        <v>23</v>
      </c>
      <c r="L489">
        <v>19</v>
      </c>
      <c r="M489">
        <v>23</v>
      </c>
      <c r="N489">
        <v>24</v>
      </c>
      <c r="O489">
        <v>22</v>
      </c>
      <c r="Q489">
        <v>19</v>
      </c>
      <c r="R489">
        <v>20</v>
      </c>
    </row>
    <row r="490" spans="1:23">
      <c r="A490">
        <v>489</v>
      </c>
      <c r="B490" s="1">
        <v>45383</v>
      </c>
      <c r="C490" s="1">
        <v>45426</v>
      </c>
      <c r="D490" s="29">
        <f>Tailordata[[#This Row],[DueDate]]-Tailordata[[#This Row],[Date]]</f>
        <v>43</v>
      </c>
      <c r="E490" t="s">
        <v>33</v>
      </c>
      <c r="F490" t="s">
        <v>30</v>
      </c>
      <c r="G490">
        <v>274</v>
      </c>
      <c r="H490" t="s">
        <v>26</v>
      </c>
      <c r="I490">
        <v>23</v>
      </c>
      <c r="J490">
        <v>42</v>
      </c>
      <c r="K490">
        <v>24</v>
      </c>
      <c r="L490">
        <v>17</v>
      </c>
      <c r="M490">
        <v>18</v>
      </c>
      <c r="N490">
        <v>25</v>
      </c>
      <c r="O490">
        <v>22</v>
      </c>
      <c r="Q490">
        <v>21</v>
      </c>
      <c r="R490">
        <v>17</v>
      </c>
    </row>
    <row r="491" spans="1:23">
      <c r="A491">
        <v>490</v>
      </c>
      <c r="B491" s="1">
        <v>45306</v>
      </c>
      <c r="C491" s="1">
        <v>45419</v>
      </c>
      <c r="D491" s="29">
        <f>Tailordata[[#This Row],[DueDate]]-Tailordata[[#This Row],[Date]]</f>
        <v>113</v>
      </c>
      <c r="E491" t="s">
        <v>29</v>
      </c>
      <c r="F491" t="s">
        <v>36</v>
      </c>
      <c r="G491">
        <v>412</v>
      </c>
      <c r="H491" t="s">
        <v>24</v>
      </c>
      <c r="O491">
        <v>22</v>
      </c>
      <c r="Q491">
        <v>24</v>
      </c>
      <c r="R491">
        <v>14</v>
      </c>
      <c r="S491">
        <v>21</v>
      </c>
      <c r="T491">
        <v>22</v>
      </c>
      <c r="U491">
        <v>21</v>
      </c>
    </row>
    <row r="492" spans="1:23">
      <c r="A492">
        <v>491</v>
      </c>
      <c r="B492" s="1">
        <v>45312</v>
      </c>
      <c r="C492" s="1">
        <v>45439</v>
      </c>
      <c r="D492" s="29">
        <f>Tailordata[[#This Row],[DueDate]]-Tailordata[[#This Row],[Date]]</f>
        <v>127</v>
      </c>
      <c r="E492" t="s">
        <v>29</v>
      </c>
      <c r="F492" t="s">
        <v>23</v>
      </c>
      <c r="G492">
        <v>310</v>
      </c>
      <c r="H492" t="s">
        <v>31</v>
      </c>
      <c r="O492">
        <v>18</v>
      </c>
      <c r="Q492">
        <v>24</v>
      </c>
      <c r="R492">
        <v>14</v>
      </c>
      <c r="S492">
        <v>22</v>
      </c>
      <c r="T492">
        <v>17</v>
      </c>
      <c r="U492">
        <v>19</v>
      </c>
    </row>
    <row r="493" spans="1:23">
      <c r="A493">
        <v>492</v>
      </c>
      <c r="B493" s="1">
        <v>45348</v>
      </c>
      <c r="C493" s="1">
        <v>45431</v>
      </c>
      <c r="D493" s="29">
        <f>Tailordata[[#This Row],[DueDate]]-Tailordata[[#This Row],[Date]]</f>
        <v>83</v>
      </c>
      <c r="E493" t="s">
        <v>22</v>
      </c>
      <c r="F493" t="s">
        <v>30</v>
      </c>
      <c r="G493">
        <v>192</v>
      </c>
      <c r="H493" t="s">
        <v>24</v>
      </c>
      <c r="I493">
        <v>23</v>
      </c>
      <c r="J493">
        <v>43</v>
      </c>
      <c r="K493">
        <v>23</v>
      </c>
      <c r="L493">
        <v>23</v>
      </c>
      <c r="M493">
        <v>19</v>
      </c>
    </row>
    <row r="494" spans="1:23">
      <c r="A494">
        <v>493</v>
      </c>
      <c r="B494" s="1">
        <v>45354</v>
      </c>
      <c r="C494" s="1">
        <v>45440</v>
      </c>
      <c r="D494" s="29">
        <f>Tailordata[[#This Row],[DueDate]]-Tailordata[[#This Row],[Date]]</f>
        <v>86</v>
      </c>
      <c r="E494" t="s">
        <v>22</v>
      </c>
      <c r="F494" t="s">
        <v>25</v>
      </c>
      <c r="G494">
        <v>64</v>
      </c>
      <c r="H494" t="s">
        <v>24</v>
      </c>
      <c r="I494">
        <v>16</v>
      </c>
      <c r="J494">
        <v>30</v>
      </c>
      <c r="K494">
        <v>18</v>
      </c>
      <c r="L494">
        <v>20</v>
      </c>
      <c r="M494">
        <v>22</v>
      </c>
    </row>
    <row r="495" spans="1:23">
      <c r="A495">
        <v>494</v>
      </c>
      <c r="B495" s="1">
        <v>45352</v>
      </c>
      <c r="C495" s="1">
        <v>45431</v>
      </c>
      <c r="D495" s="29">
        <f>Tailordata[[#This Row],[DueDate]]-Tailordata[[#This Row],[Date]]</f>
        <v>79</v>
      </c>
      <c r="E495" t="s">
        <v>35</v>
      </c>
      <c r="F495" t="s">
        <v>36</v>
      </c>
      <c r="G495">
        <v>424</v>
      </c>
      <c r="H495" t="s">
        <v>31</v>
      </c>
      <c r="O495">
        <v>20</v>
      </c>
      <c r="P495">
        <v>16</v>
      </c>
      <c r="Q495">
        <v>19</v>
      </c>
      <c r="R495">
        <v>22</v>
      </c>
      <c r="U495">
        <v>16</v>
      </c>
      <c r="V495">
        <v>14</v>
      </c>
      <c r="W495">
        <v>19</v>
      </c>
    </row>
    <row r="496" spans="1:23">
      <c r="A496">
        <v>495</v>
      </c>
      <c r="B496" s="1">
        <v>45392</v>
      </c>
      <c r="C496" s="1">
        <v>45432</v>
      </c>
      <c r="D496" s="29">
        <f>Tailordata[[#This Row],[DueDate]]-Tailordata[[#This Row],[Date]]</f>
        <v>40</v>
      </c>
      <c r="E496" t="s">
        <v>29</v>
      </c>
      <c r="F496" t="s">
        <v>25</v>
      </c>
      <c r="G496">
        <v>73</v>
      </c>
      <c r="H496" t="s">
        <v>26</v>
      </c>
      <c r="O496">
        <v>14</v>
      </c>
      <c r="Q496">
        <v>15</v>
      </c>
      <c r="R496">
        <v>18</v>
      </c>
      <c r="S496">
        <v>15</v>
      </c>
      <c r="T496">
        <v>14</v>
      </c>
      <c r="U496">
        <v>21</v>
      </c>
    </row>
    <row r="497" spans="1:23">
      <c r="A497">
        <v>496</v>
      </c>
      <c r="B497" s="1">
        <v>45304</v>
      </c>
      <c r="C497" s="1">
        <v>45411</v>
      </c>
      <c r="D497" s="29">
        <f>Tailordata[[#This Row],[DueDate]]-Tailordata[[#This Row],[Date]]</f>
        <v>107</v>
      </c>
      <c r="E497" t="s">
        <v>22</v>
      </c>
      <c r="F497" t="s">
        <v>30</v>
      </c>
      <c r="G497">
        <v>315</v>
      </c>
      <c r="H497" t="s">
        <v>26</v>
      </c>
      <c r="I497">
        <v>16</v>
      </c>
      <c r="J497">
        <v>29</v>
      </c>
      <c r="K497">
        <v>19</v>
      </c>
      <c r="L497">
        <v>18</v>
      </c>
      <c r="M497">
        <v>15</v>
      </c>
    </row>
    <row r="498" spans="1:23">
      <c r="A498">
        <v>497</v>
      </c>
      <c r="B498" s="1">
        <v>45339</v>
      </c>
      <c r="C498" s="1">
        <v>45428</v>
      </c>
      <c r="D498" s="29">
        <f>Tailordata[[#This Row],[DueDate]]-Tailordata[[#This Row],[Date]]</f>
        <v>89</v>
      </c>
      <c r="E498" t="s">
        <v>29</v>
      </c>
      <c r="F498" t="s">
        <v>32</v>
      </c>
      <c r="G498">
        <v>381</v>
      </c>
      <c r="H498" t="s">
        <v>34</v>
      </c>
      <c r="O498">
        <v>20</v>
      </c>
      <c r="Q498">
        <v>16</v>
      </c>
      <c r="R498">
        <v>17</v>
      </c>
      <c r="S498">
        <v>15</v>
      </c>
      <c r="T498">
        <v>23</v>
      </c>
      <c r="U498">
        <v>22</v>
      </c>
    </row>
    <row r="499" spans="1:23">
      <c r="A499">
        <v>498</v>
      </c>
      <c r="B499" s="1">
        <v>45315</v>
      </c>
      <c r="C499" s="1">
        <v>45426</v>
      </c>
      <c r="D499" s="29">
        <f>Tailordata[[#This Row],[DueDate]]-Tailordata[[#This Row],[Date]]</f>
        <v>111</v>
      </c>
      <c r="E499" t="s">
        <v>29</v>
      </c>
      <c r="F499" t="s">
        <v>30</v>
      </c>
      <c r="G499">
        <v>332</v>
      </c>
      <c r="H499" t="s">
        <v>28</v>
      </c>
      <c r="O499">
        <v>23</v>
      </c>
      <c r="Q499">
        <v>15</v>
      </c>
      <c r="R499">
        <v>24</v>
      </c>
      <c r="S499">
        <v>14</v>
      </c>
      <c r="T499">
        <v>18</v>
      </c>
      <c r="U499">
        <v>20</v>
      </c>
    </row>
    <row r="500" spans="1:23">
      <c r="A500">
        <v>499</v>
      </c>
      <c r="B500" s="1">
        <v>45399</v>
      </c>
      <c r="C500" s="1">
        <v>45413</v>
      </c>
      <c r="D500" s="29">
        <f>Tailordata[[#This Row],[DueDate]]-Tailordata[[#This Row],[Date]]</f>
        <v>14</v>
      </c>
      <c r="E500" t="s">
        <v>29</v>
      </c>
      <c r="F500" t="s">
        <v>36</v>
      </c>
      <c r="G500">
        <v>74</v>
      </c>
      <c r="H500" t="s">
        <v>26</v>
      </c>
      <c r="O500">
        <v>23</v>
      </c>
      <c r="Q500">
        <v>15</v>
      </c>
      <c r="R500">
        <v>19</v>
      </c>
      <c r="S500">
        <v>22</v>
      </c>
      <c r="T500">
        <v>15</v>
      </c>
      <c r="U500">
        <v>24</v>
      </c>
    </row>
    <row r="501" spans="1:23">
      <c r="A501">
        <v>500</v>
      </c>
      <c r="B501" s="1">
        <v>45309</v>
      </c>
      <c r="C501" s="1">
        <v>45435</v>
      </c>
      <c r="D501" s="29">
        <f>Tailordata[[#This Row],[DueDate]]-Tailordata[[#This Row],[Date]]</f>
        <v>126</v>
      </c>
      <c r="E501" t="s">
        <v>33</v>
      </c>
      <c r="F501" t="s">
        <v>23</v>
      </c>
      <c r="G501">
        <v>203</v>
      </c>
      <c r="H501" t="s">
        <v>24</v>
      </c>
      <c r="I501">
        <v>20</v>
      </c>
      <c r="J501">
        <v>27</v>
      </c>
      <c r="K501">
        <v>15</v>
      </c>
      <c r="L501">
        <v>19</v>
      </c>
      <c r="M501">
        <v>15</v>
      </c>
      <c r="N501">
        <v>28</v>
      </c>
      <c r="O501">
        <v>15</v>
      </c>
      <c r="Q501">
        <v>23</v>
      </c>
      <c r="R501">
        <v>18</v>
      </c>
    </row>
    <row r="502" spans="1:23">
      <c r="A502">
        <v>501</v>
      </c>
      <c r="B502" s="1">
        <v>45327</v>
      </c>
      <c r="C502" s="1">
        <v>45418</v>
      </c>
      <c r="D502" s="29">
        <f>Tailordata[[#This Row],[DueDate]]-Tailordata[[#This Row],[Date]]</f>
        <v>91</v>
      </c>
      <c r="E502" t="s">
        <v>27</v>
      </c>
      <c r="F502" t="s">
        <v>32</v>
      </c>
      <c r="G502">
        <v>126</v>
      </c>
      <c r="H502" t="s">
        <v>26</v>
      </c>
      <c r="I502">
        <v>18</v>
      </c>
      <c r="J502">
        <v>49</v>
      </c>
      <c r="K502">
        <v>17</v>
      </c>
      <c r="L502">
        <v>20</v>
      </c>
      <c r="N502">
        <v>34</v>
      </c>
      <c r="O502">
        <v>16</v>
      </c>
      <c r="P502">
        <v>14</v>
      </c>
    </row>
    <row r="503" spans="1:23">
      <c r="A503">
        <v>502</v>
      </c>
      <c r="B503" s="1">
        <v>45358</v>
      </c>
      <c r="C503" s="1">
        <v>45428</v>
      </c>
      <c r="D503" s="29">
        <f>Tailordata[[#This Row],[DueDate]]-Tailordata[[#This Row],[Date]]</f>
        <v>70</v>
      </c>
      <c r="E503" t="s">
        <v>35</v>
      </c>
      <c r="F503" t="s">
        <v>23</v>
      </c>
      <c r="G503">
        <v>198</v>
      </c>
      <c r="H503" t="s">
        <v>31</v>
      </c>
      <c r="O503">
        <v>20</v>
      </c>
      <c r="P503">
        <v>21</v>
      </c>
      <c r="Q503">
        <v>24</v>
      </c>
      <c r="R503">
        <v>17</v>
      </c>
      <c r="U503">
        <v>15</v>
      </c>
      <c r="V503">
        <v>22</v>
      </c>
      <c r="W503">
        <v>18</v>
      </c>
    </row>
    <row r="504" spans="1:23">
      <c r="A504">
        <v>503</v>
      </c>
      <c r="B504" s="1">
        <v>45388</v>
      </c>
      <c r="C504" s="1">
        <v>45428</v>
      </c>
      <c r="D504" s="29">
        <f>Tailordata[[#This Row],[DueDate]]-Tailordata[[#This Row],[Date]]</f>
        <v>40</v>
      </c>
      <c r="E504" t="s">
        <v>35</v>
      </c>
      <c r="F504" t="s">
        <v>23</v>
      </c>
      <c r="G504">
        <v>223</v>
      </c>
      <c r="H504" t="s">
        <v>24</v>
      </c>
      <c r="O504">
        <v>20</v>
      </c>
      <c r="P504">
        <v>17</v>
      </c>
      <c r="Q504">
        <v>23</v>
      </c>
      <c r="R504">
        <v>20</v>
      </c>
      <c r="U504">
        <v>23</v>
      </c>
      <c r="V504">
        <v>23</v>
      </c>
      <c r="W504">
        <v>19</v>
      </c>
    </row>
    <row r="505" spans="1:23">
      <c r="A505">
        <v>504</v>
      </c>
      <c r="B505" s="1">
        <v>45366</v>
      </c>
      <c r="C505" s="1">
        <v>45434</v>
      </c>
      <c r="D505" s="29">
        <f>Tailordata[[#This Row],[DueDate]]-Tailordata[[#This Row],[Date]]</f>
        <v>68</v>
      </c>
      <c r="E505" t="s">
        <v>33</v>
      </c>
      <c r="F505" t="s">
        <v>36</v>
      </c>
      <c r="G505">
        <v>399</v>
      </c>
      <c r="H505" t="s">
        <v>31</v>
      </c>
      <c r="I505">
        <v>23</v>
      </c>
      <c r="J505">
        <v>27</v>
      </c>
      <c r="K505">
        <v>16</v>
      </c>
      <c r="L505">
        <v>21</v>
      </c>
      <c r="M505">
        <v>20</v>
      </c>
      <c r="N505">
        <v>47</v>
      </c>
      <c r="O505">
        <v>20</v>
      </c>
      <c r="Q505">
        <v>15</v>
      </c>
      <c r="R505">
        <v>16</v>
      </c>
    </row>
    <row r="506" spans="1:23">
      <c r="A506">
        <v>505</v>
      </c>
      <c r="B506" s="1">
        <v>45302</v>
      </c>
      <c r="C506" s="1">
        <v>45436</v>
      </c>
      <c r="D506" s="29">
        <f>Tailordata[[#This Row],[DueDate]]-Tailordata[[#This Row],[Date]]</f>
        <v>134</v>
      </c>
      <c r="E506" t="s">
        <v>27</v>
      </c>
      <c r="F506" t="s">
        <v>25</v>
      </c>
      <c r="G506">
        <v>226</v>
      </c>
      <c r="H506" t="s">
        <v>28</v>
      </c>
      <c r="I506">
        <v>18</v>
      </c>
      <c r="J506">
        <v>44</v>
      </c>
      <c r="K506">
        <v>21</v>
      </c>
      <c r="L506">
        <v>17</v>
      </c>
      <c r="N506">
        <v>34</v>
      </c>
      <c r="O506">
        <v>16</v>
      </c>
      <c r="P506">
        <v>17</v>
      </c>
    </row>
    <row r="507" spans="1:23">
      <c r="A507">
        <v>506</v>
      </c>
      <c r="B507" s="1">
        <v>45359</v>
      </c>
      <c r="C507" s="1">
        <v>45433</v>
      </c>
      <c r="D507" s="29">
        <f>Tailordata[[#This Row],[DueDate]]-Tailordata[[#This Row],[Date]]</f>
        <v>74</v>
      </c>
      <c r="E507" t="s">
        <v>29</v>
      </c>
      <c r="F507" t="s">
        <v>23</v>
      </c>
      <c r="G507">
        <v>462</v>
      </c>
      <c r="H507" t="s">
        <v>34</v>
      </c>
      <c r="O507">
        <v>21</v>
      </c>
      <c r="Q507">
        <v>23</v>
      </c>
      <c r="R507">
        <v>20</v>
      </c>
      <c r="S507">
        <v>17</v>
      </c>
      <c r="T507">
        <v>19</v>
      </c>
      <c r="U507">
        <v>15</v>
      </c>
    </row>
    <row r="508" spans="1:23">
      <c r="A508">
        <v>507</v>
      </c>
      <c r="B508" s="1">
        <v>45399</v>
      </c>
      <c r="C508" s="1">
        <v>45424</v>
      </c>
      <c r="D508" s="29">
        <f>Tailordata[[#This Row],[DueDate]]-Tailordata[[#This Row],[Date]]</f>
        <v>25</v>
      </c>
      <c r="E508" t="s">
        <v>35</v>
      </c>
      <c r="F508" t="s">
        <v>32</v>
      </c>
      <c r="G508">
        <v>169</v>
      </c>
      <c r="H508" t="s">
        <v>24</v>
      </c>
      <c r="O508">
        <v>23</v>
      </c>
      <c r="P508">
        <v>18</v>
      </c>
      <c r="Q508">
        <v>18</v>
      </c>
      <c r="R508">
        <v>19</v>
      </c>
      <c r="U508">
        <v>24</v>
      </c>
      <c r="V508">
        <v>18</v>
      </c>
      <c r="W508">
        <v>16</v>
      </c>
    </row>
    <row r="509" spans="1:23">
      <c r="A509">
        <v>508</v>
      </c>
      <c r="B509" s="1">
        <v>45309</v>
      </c>
      <c r="C509" s="1">
        <v>45429</v>
      </c>
      <c r="D509" s="29">
        <f>Tailordata[[#This Row],[DueDate]]-Tailordata[[#This Row],[Date]]</f>
        <v>120</v>
      </c>
      <c r="E509" t="s">
        <v>35</v>
      </c>
      <c r="F509" t="s">
        <v>23</v>
      </c>
      <c r="G509">
        <v>333</v>
      </c>
      <c r="H509" t="s">
        <v>26</v>
      </c>
      <c r="O509">
        <v>20</v>
      </c>
      <c r="P509">
        <v>16</v>
      </c>
      <c r="Q509">
        <v>23</v>
      </c>
      <c r="R509">
        <v>15</v>
      </c>
      <c r="U509">
        <v>23</v>
      </c>
      <c r="V509">
        <v>21</v>
      </c>
      <c r="W509">
        <v>23</v>
      </c>
    </row>
    <row r="510" spans="1:23">
      <c r="A510">
        <v>509</v>
      </c>
      <c r="B510" s="1">
        <v>45402</v>
      </c>
      <c r="C510" s="1">
        <v>45421</v>
      </c>
      <c r="D510" s="29">
        <f>Tailordata[[#This Row],[DueDate]]-Tailordata[[#This Row],[Date]]</f>
        <v>19</v>
      </c>
      <c r="E510" t="s">
        <v>27</v>
      </c>
      <c r="F510" t="s">
        <v>36</v>
      </c>
      <c r="G510">
        <v>401</v>
      </c>
      <c r="H510" t="s">
        <v>24</v>
      </c>
      <c r="I510">
        <v>14</v>
      </c>
      <c r="J510">
        <v>36</v>
      </c>
      <c r="K510">
        <v>24</v>
      </c>
      <c r="L510">
        <v>16</v>
      </c>
      <c r="N510">
        <v>29</v>
      </c>
      <c r="O510">
        <v>19</v>
      </c>
      <c r="P510">
        <v>19</v>
      </c>
    </row>
    <row r="511" spans="1:23">
      <c r="A511">
        <v>510</v>
      </c>
      <c r="B511" s="1">
        <v>45311</v>
      </c>
      <c r="C511" s="1">
        <v>45421</v>
      </c>
      <c r="D511" s="29">
        <f>Tailordata[[#This Row],[DueDate]]-Tailordata[[#This Row],[Date]]</f>
        <v>110</v>
      </c>
      <c r="E511" t="s">
        <v>35</v>
      </c>
      <c r="F511" t="s">
        <v>25</v>
      </c>
      <c r="G511">
        <v>278</v>
      </c>
      <c r="H511" t="s">
        <v>34</v>
      </c>
      <c r="O511">
        <v>19</v>
      </c>
      <c r="P511">
        <v>18</v>
      </c>
      <c r="Q511">
        <v>15</v>
      </c>
      <c r="R511">
        <v>20</v>
      </c>
      <c r="U511">
        <v>19</v>
      </c>
      <c r="V511">
        <v>19</v>
      </c>
      <c r="W511">
        <v>24</v>
      </c>
    </row>
    <row r="512" spans="1:23">
      <c r="A512">
        <v>511</v>
      </c>
      <c r="B512" s="1">
        <v>45373</v>
      </c>
      <c r="C512" s="1">
        <v>45415</v>
      </c>
      <c r="D512" s="29">
        <f>Tailordata[[#This Row],[DueDate]]-Tailordata[[#This Row],[Date]]</f>
        <v>42</v>
      </c>
      <c r="E512" t="s">
        <v>29</v>
      </c>
      <c r="F512" t="s">
        <v>32</v>
      </c>
      <c r="G512">
        <v>221</v>
      </c>
      <c r="H512" t="s">
        <v>31</v>
      </c>
      <c r="O512">
        <v>15</v>
      </c>
      <c r="Q512">
        <v>18</v>
      </c>
      <c r="R512">
        <v>15</v>
      </c>
      <c r="S512">
        <v>20</v>
      </c>
      <c r="T512">
        <v>19</v>
      </c>
      <c r="U512">
        <v>17</v>
      </c>
    </row>
    <row r="513" spans="1:23">
      <c r="A513">
        <v>512</v>
      </c>
      <c r="B513" s="1">
        <v>45367</v>
      </c>
      <c r="C513" s="1">
        <v>45415</v>
      </c>
      <c r="D513" s="29">
        <f>Tailordata[[#This Row],[DueDate]]-Tailordata[[#This Row],[Date]]</f>
        <v>48</v>
      </c>
      <c r="E513" t="s">
        <v>27</v>
      </c>
      <c r="F513" t="s">
        <v>23</v>
      </c>
      <c r="G513">
        <v>355</v>
      </c>
      <c r="H513" t="s">
        <v>34</v>
      </c>
      <c r="I513">
        <v>23</v>
      </c>
      <c r="J513">
        <v>48</v>
      </c>
      <c r="K513">
        <v>18</v>
      </c>
      <c r="L513">
        <v>22</v>
      </c>
      <c r="N513">
        <v>28</v>
      </c>
      <c r="O513">
        <v>15</v>
      </c>
      <c r="P513">
        <v>17</v>
      </c>
    </row>
    <row r="514" spans="1:23">
      <c r="A514">
        <v>513</v>
      </c>
      <c r="B514" s="1">
        <v>45351</v>
      </c>
      <c r="C514" s="1">
        <v>45427</v>
      </c>
      <c r="D514" s="29">
        <f>Tailordata[[#This Row],[DueDate]]-Tailordata[[#This Row],[Date]]</f>
        <v>76</v>
      </c>
      <c r="E514" t="s">
        <v>22</v>
      </c>
      <c r="F514" t="s">
        <v>36</v>
      </c>
      <c r="G514">
        <v>104</v>
      </c>
      <c r="H514" t="s">
        <v>26</v>
      </c>
      <c r="I514">
        <v>16</v>
      </c>
      <c r="J514">
        <v>48</v>
      </c>
      <c r="K514">
        <v>17</v>
      </c>
      <c r="L514">
        <v>22</v>
      </c>
      <c r="M514">
        <v>18</v>
      </c>
    </row>
    <row r="515" spans="1:23">
      <c r="A515">
        <v>514</v>
      </c>
      <c r="B515" s="1">
        <v>45388</v>
      </c>
      <c r="C515" s="1">
        <v>45437</v>
      </c>
      <c r="D515" s="29">
        <f>Tailordata[[#This Row],[DueDate]]-Tailordata[[#This Row],[Date]]</f>
        <v>49</v>
      </c>
      <c r="E515" t="s">
        <v>29</v>
      </c>
      <c r="F515" t="s">
        <v>36</v>
      </c>
      <c r="G515">
        <v>436</v>
      </c>
      <c r="H515" t="s">
        <v>34</v>
      </c>
      <c r="O515">
        <v>24</v>
      </c>
      <c r="Q515">
        <v>15</v>
      </c>
      <c r="R515">
        <v>24</v>
      </c>
      <c r="S515">
        <v>17</v>
      </c>
      <c r="T515">
        <v>19</v>
      </c>
      <c r="U515">
        <v>24</v>
      </c>
    </row>
    <row r="516" spans="1:23">
      <c r="A516">
        <v>515</v>
      </c>
      <c r="B516" s="1">
        <v>45309</v>
      </c>
      <c r="C516" s="1">
        <v>45439</v>
      </c>
      <c r="D516" s="29">
        <f>Tailordata[[#This Row],[DueDate]]-Tailordata[[#This Row],[Date]]</f>
        <v>130</v>
      </c>
      <c r="E516" t="s">
        <v>22</v>
      </c>
      <c r="F516" t="s">
        <v>36</v>
      </c>
      <c r="G516">
        <v>426</v>
      </c>
      <c r="H516" t="s">
        <v>26</v>
      </c>
      <c r="I516">
        <v>19</v>
      </c>
      <c r="J516">
        <v>42</v>
      </c>
      <c r="K516">
        <v>16</v>
      </c>
      <c r="L516">
        <v>22</v>
      </c>
      <c r="M516">
        <v>19</v>
      </c>
    </row>
    <row r="517" spans="1:23">
      <c r="A517">
        <v>516</v>
      </c>
      <c r="B517" s="1">
        <v>45324</v>
      </c>
      <c r="C517" s="1">
        <v>45433</v>
      </c>
      <c r="D517" s="29">
        <f>Tailordata[[#This Row],[DueDate]]-Tailordata[[#This Row],[Date]]</f>
        <v>109</v>
      </c>
      <c r="E517" t="s">
        <v>33</v>
      </c>
      <c r="F517" t="s">
        <v>36</v>
      </c>
      <c r="G517">
        <v>144</v>
      </c>
      <c r="H517" t="s">
        <v>28</v>
      </c>
      <c r="I517">
        <v>20</v>
      </c>
      <c r="J517">
        <v>33</v>
      </c>
      <c r="K517">
        <v>24</v>
      </c>
      <c r="L517">
        <v>23</v>
      </c>
      <c r="M517">
        <v>21</v>
      </c>
      <c r="N517">
        <v>46</v>
      </c>
      <c r="O517">
        <v>18</v>
      </c>
      <c r="Q517">
        <v>20</v>
      </c>
      <c r="R517">
        <v>20</v>
      </c>
    </row>
    <row r="518" spans="1:23">
      <c r="A518">
        <v>517</v>
      </c>
      <c r="B518" s="1">
        <v>45323</v>
      </c>
      <c r="C518" s="1">
        <v>45429</v>
      </c>
      <c r="D518" s="29">
        <f>Tailordata[[#This Row],[DueDate]]-Tailordata[[#This Row],[Date]]</f>
        <v>106</v>
      </c>
      <c r="E518" t="s">
        <v>29</v>
      </c>
      <c r="F518" t="s">
        <v>30</v>
      </c>
      <c r="G518">
        <v>129</v>
      </c>
      <c r="H518" t="s">
        <v>31</v>
      </c>
      <c r="O518">
        <v>15</v>
      </c>
      <c r="Q518">
        <v>15</v>
      </c>
      <c r="R518">
        <v>23</v>
      </c>
      <c r="S518">
        <v>14</v>
      </c>
      <c r="T518">
        <v>20</v>
      </c>
      <c r="U518">
        <v>19</v>
      </c>
    </row>
    <row r="519" spans="1:23">
      <c r="A519">
        <v>518</v>
      </c>
      <c r="B519" s="1">
        <v>45320</v>
      </c>
      <c r="C519" s="1">
        <v>45432</v>
      </c>
      <c r="D519" s="29">
        <f>Tailordata[[#This Row],[DueDate]]-Tailordata[[#This Row],[Date]]</f>
        <v>112</v>
      </c>
      <c r="E519" t="s">
        <v>35</v>
      </c>
      <c r="F519" t="s">
        <v>23</v>
      </c>
      <c r="G519">
        <v>248</v>
      </c>
      <c r="H519" t="s">
        <v>31</v>
      </c>
      <c r="O519">
        <v>20</v>
      </c>
      <c r="P519">
        <v>22</v>
      </c>
      <c r="Q519">
        <v>15</v>
      </c>
      <c r="R519">
        <v>22</v>
      </c>
      <c r="U519">
        <v>14</v>
      </c>
      <c r="V519">
        <v>15</v>
      </c>
      <c r="W519">
        <v>19</v>
      </c>
    </row>
    <row r="520" spans="1:23">
      <c r="A520">
        <v>519</v>
      </c>
      <c r="B520" s="1">
        <v>45399</v>
      </c>
      <c r="C520" s="1">
        <v>45439</v>
      </c>
      <c r="D520" s="29">
        <f>Tailordata[[#This Row],[DueDate]]-Tailordata[[#This Row],[Date]]</f>
        <v>40</v>
      </c>
      <c r="E520" t="s">
        <v>22</v>
      </c>
      <c r="F520" t="s">
        <v>30</v>
      </c>
      <c r="G520">
        <v>409</v>
      </c>
      <c r="H520" t="s">
        <v>24</v>
      </c>
      <c r="I520">
        <v>20</v>
      </c>
      <c r="J520">
        <v>25</v>
      </c>
      <c r="K520">
        <v>20</v>
      </c>
      <c r="L520">
        <v>14</v>
      </c>
      <c r="M520">
        <v>23</v>
      </c>
    </row>
    <row r="521" spans="1:23">
      <c r="A521">
        <v>520</v>
      </c>
      <c r="B521" s="1">
        <v>45312</v>
      </c>
      <c r="C521" s="1">
        <v>45413</v>
      </c>
      <c r="D521" s="29">
        <f>Tailordata[[#This Row],[DueDate]]-Tailordata[[#This Row],[Date]]</f>
        <v>101</v>
      </c>
      <c r="E521" t="s">
        <v>27</v>
      </c>
      <c r="F521" t="s">
        <v>23</v>
      </c>
      <c r="G521">
        <v>477</v>
      </c>
      <c r="H521" t="s">
        <v>34</v>
      </c>
      <c r="I521">
        <v>19</v>
      </c>
      <c r="J521">
        <v>35</v>
      </c>
      <c r="K521">
        <v>14</v>
      </c>
      <c r="L521">
        <v>21</v>
      </c>
      <c r="N521">
        <v>34</v>
      </c>
      <c r="O521">
        <v>19</v>
      </c>
      <c r="P521">
        <v>22</v>
      </c>
    </row>
    <row r="522" spans="1:23">
      <c r="A522">
        <v>521</v>
      </c>
      <c r="B522" s="1">
        <v>45379</v>
      </c>
      <c r="C522" s="1">
        <v>45434</v>
      </c>
      <c r="D522" s="29">
        <f>Tailordata[[#This Row],[DueDate]]-Tailordata[[#This Row],[Date]]</f>
        <v>55</v>
      </c>
      <c r="E522" t="s">
        <v>35</v>
      </c>
      <c r="F522" t="s">
        <v>32</v>
      </c>
      <c r="G522">
        <v>439</v>
      </c>
      <c r="H522" t="s">
        <v>26</v>
      </c>
      <c r="O522">
        <v>14</v>
      </c>
      <c r="P522">
        <v>16</v>
      </c>
      <c r="Q522">
        <v>15</v>
      </c>
      <c r="R522">
        <v>19</v>
      </c>
      <c r="U522">
        <v>16</v>
      </c>
      <c r="V522">
        <v>18</v>
      </c>
      <c r="W522">
        <v>17</v>
      </c>
    </row>
    <row r="523" spans="1:23">
      <c r="A523">
        <v>522</v>
      </c>
      <c r="B523" s="1">
        <v>45378</v>
      </c>
      <c r="C523" s="1">
        <v>45415</v>
      </c>
      <c r="D523" s="29">
        <f>Tailordata[[#This Row],[DueDate]]-Tailordata[[#This Row],[Date]]</f>
        <v>37</v>
      </c>
      <c r="E523" t="s">
        <v>33</v>
      </c>
      <c r="F523" t="s">
        <v>25</v>
      </c>
      <c r="G523">
        <v>209</v>
      </c>
      <c r="H523" t="s">
        <v>34</v>
      </c>
      <c r="I523">
        <v>17</v>
      </c>
      <c r="J523">
        <v>27</v>
      </c>
      <c r="K523">
        <v>15</v>
      </c>
      <c r="L523">
        <v>22</v>
      </c>
      <c r="M523">
        <v>22</v>
      </c>
      <c r="N523">
        <v>42</v>
      </c>
      <c r="O523">
        <v>19</v>
      </c>
      <c r="Q523">
        <v>19</v>
      </c>
      <c r="R523">
        <v>19</v>
      </c>
    </row>
    <row r="524" spans="1:23">
      <c r="A524">
        <v>523</v>
      </c>
      <c r="B524" s="1">
        <v>45344</v>
      </c>
      <c r="C524" s="1">
        <v>45425</v>
      </c>
      <c r="D524" s="29">
        <f>Tailordata[[#This Row],[DueDate]]-Tailordata[[#This Row],[Date]]</f>
        <v>81</v>
      </c>
      <c r="E524" t="s">
        <v>29</v>
      </c>
      <c r="F524" t="s">
        <v>25</v>
      </c>
      <c r="G524">
        <v>304</v>
      </c>
      <c r="H524" t="s">
        <v>28</v>
      </c>
      <c r="O524">
        <v>17</v>
      </c>
      <c r="Q524">
        <v>15</v>
      </c>
      <c r="R524">
        <v>15</v>
      </c>
      <c r="S524">
        <v>16</v>
      </c>
      <c r="T524">
        <v>14</v>
      </c>
      <c r="U524">
        <v>18</v>
      </c>
    </row>
    <row r="525" spans="1:23">
      <c r="A525">
        <v>524</v>
      </c>
      <c r="B525" s="1">
        <v>45337</v>
      </c>
      <c r="C525" s="1">
        <v>45412</v>
      </c>
      <c r="D525" s="29">
        <f>Tailordata[[#This Row],[DueDate]]-Tailordata[[#This Row],[Date]]</f>
        <v>75</v>
      </c>
      <c r="E525" t="s">
        <v>22</v>
      </c>
      <c r="F525" t="s">
        <v>32</v>
      </c>
      <c r="G525">
        <v>207</v>
      </c>
      <c r="H525" t="s">
        <v>24</v>
      </c>
      <c r="I525">
        <v>21</v>
      </c>
      <c r="J525">
        <v>40</v>
      </c>
      <c r="K525">
        <v>18</v>
      </c>
      <c r="L525">
        <v>20</v>
      </c>
      <c r="M525">
        <v>22</v>
      </c>
    </row>
    <row r="526" spans="1:23">
      <c r="A526">
        <v>525</v>
      </c>
      <c r="B526" s="1">
        <v>45403</v>
      </c>
      <c r="C526" s="1">
        <v>45423</v>
      </c>
      <c r="D526" s="29">
        <f>Tailordata[[#This Row],[DueDate]]-Tailordata[[#This Row],[Date]]</f>
        <v>20</v>
      </c>
      <c r="E526" t="s">
        <v>29</v>
      </c>
      <c r="F526" t="s">
        <v>25</v>
      </c>
      <c r="G526">
        <v>421</v>
      </c>
      <c r="H526" t="s">
        <v>26</v>
      </c>
      <c r="O526">
        <v>23</v>
      </c>
      <c r="Q526">
        <v>24</v>
      </c>
      <c r="R526">
        <v>21</v>
      </c>
      <c r="S526">
        <v>19</v>
      </c>
      <c r="T526">
        <v>19</v>
      </c>
      <c r="U526">
        <v>16</v>
      </c>
    </row>
    <row r="527" spans="1:23">
      <c r="A527">
        <v>526</v>
      </c>
      <c r="B527" s="1">
        <v>45388</v>
      </c>
      <c r="C527" s="1">
        <v>45438</v>
      </c>
      <c r="D527" s="29">
        <f>Tailordata[[#This Row],[DueDate]]-Tailordata[[#This Row],[Date]]</f>
        <v>50</v>
      </c>
      <c r="E527" t="s">
        <v>27</v>
      </c>
      <c r="F527" t="s">
        <v>36</v>
      </c>
      <c r="G527">
        <v>391</v>
      </c>
      <c r="H527" t="s">
        <v>31</v>
      </c>
      <c r="I527">
        <v>19</v>
      </c>
      <c r="J527">
        <v>45</v>
      </c>
      <c r="K527">
        <v>17</v>
      </c>
      <c r="L527">
        <v>24</v>
      </c>
      <c r="N527">
        <v>24</v>
      </c>
      <c r="O527">
        <v>23</v>
      </c>
      <c r="P527">
        <v>14</v>
      </c>
    </row>
    <row r="528" spans="1:23">
      <c r="A528">
        <v>527</v>
      </c>
      <c r="B528" s="1">
        <v>45400</v>
      </c>
      <c r="C528" s="1">
        <v>45433</v>
      </c>
      <c r="D528" s="29">
        <f>Tailordata[[#This Row],[DueDate]]-Tailordata[[#This Row],[Date]]</f>
        <v>33</v>
      </c>
      <c r="E528" t="s">
        <v>35</v>
      </c>
      <c r="F528" t="s">
        <v>32</v>
      </c>
      <c r="G528">
        <v>323</v>
      </c>
      <c r="H528" t="s">
        <v>34</v>
      </c>
      <c r="O528">
        <v>18</v>
      </c>
      <c r="P528">
        <v>24</v>
      </c>
      <c r="Q528">
        <v>24</v>
      </c>
      <c r="R528">
        <v>22</v>
      </c>
      <c r="U528">
        <v>22</v>
      </c>
      <c r="V528">
        <v>15</v>
      </c>
      <c r="W528">
        <v>19</v>
      </c>
    </row>
    <row r="529" spans="1:23">
      <c r="A529">
        <v>528</v>
      </c>
      <c r="B529" s="1">
        <v>45348</v>
      </c>
      <c r="C529" s="1">
        <v>45436</v>
      </c>
      <c r="D529" s="29">
        <f>Tailordata[[#This Row],[DueDate]]-Tailordata[[#This Row],[Date]]</f>
        <v>88</v>
      </c>
      <c r="E529" t="s">
        <v>27</v>
      </c>
      <c r="F529" t="s">
        <v>25</v>
      </c>
      <c r="G529">
        <v>63</v>
      </c>
      <c r="H529" t="s">
        <v>24</v>
      </c>
      <c r="I529">
        <v>18</v>
      </c>
      <c r="J529">
        <v>36</v>
      </c>
      <c r="K529">
        <v>20</v>
      </c>
      <c r="L529">
        <v>21</v>
      </c>
      <c r="N529">
        <v>26</v>
      </c>
      <c r="O529">
        <v>24</v>
      </c>
      <c r="P529">
        <v>18</v>
      </c>
    </row>
    <row r="530" spans="1:23">
      <c r="A530">
        <v>529</v>
      </c>
      <c r="B530" s="1">
        <v>45337</v>
      </c>
      <c r="C530" s="1">
        <v>45419</v>
      </c>
      <c r="D530" s="29">
        <f>Tailordata[[#This Row],[DueDate]]-Tailordata[[#This Row],[Date]]</f>
        <v>82</v>
      </c>
      <c r="E530" t="s">
        <v>35</v>
      </c>
      <c r="F530" t="s">
        <v>25</v>
      </c>
      <c r="G530">
        <v>173</v>
      </c>
      <c r="H530" t="s">
        <v>31</v>
      </c>
      <c r="O530">
        <v>18</v>
      </c>
      <c r="P530">
        <v>22</v>
      </c>
      <c r="Q530">
        <v>20</v>
      </c>
      <c r="R530">
        <v>19</v>
      </c>
      <c r="U530">
        <v>23</v>
      </c>
      <c r="V530">
        <v>21</v>
      </c>
      <c r="W530">
        <v>20</v>
      </c>
    </row>
    <row r="531" spans="1:23">
      <c r="A531">
        <v>530</v>
      </c>
      <c r="B531" s="1">
        <v>45400</v>
      </c>
      <c r="C531" s="1">
        <v>45438</v>
      </c>
      <c r="D531" s="29">
        <f>Tailordata[[#This Row],[DueDate]]-Tailordata[[#This Row],[Date]]</f>
        <v>38</v>
      </c>
      <c r="E531" t="s">
        <v>27</v>
      </c>
      <c r="F531" t="s">
        <v>23</v>
      </c>
      <c r="G531">
        <v>148</v>
      </c>
      <c r="H531" t="s">
        <v>28</v>
      </c>
      <c r="I531">
        <v>24</v>
      </c>
      <c r="J531">
        <v>34</v>
      </c>
      <c r="K531">
        <v>24</v>
      </c>
      <c r="L531">
        <v>22</v>
      </c>
      <c r="N531">
        <v>40</v>
      </c>
      <c r="O531">
        <v>14</v>
      </c>
      <c r="P531">
        <v>20</v>
      </c>
    </row>
    <row r="532" spans="1:23">
      <c r="A532">
        <v>531</v>
      </c>
      <c r="B532" s="1">
        <v>45352</v>
      </c>
      <c r="C532" s="1">
        <v>45419</v>
      </c>
      <c r="D532" s="29">
        <f>Tailordata[[#This Row],[DueDate]]-Tailordata[[#This Row],[Date]]</f>
        <v>67</v>
      </c>
      <c r="E532" t="s">
        <v>35</v>
      </c>
      <c r="F532" t="s">
        <v>32</v>
      </c>
      <c r="G532">
        <v>121</v>
      </c>
      <c r="H532" t="s">
        <v>26</v>
      </c>
      <c r="O532">
        <v>23</v>
      </c>
      <c r="P532">
        <v>23</v>
      </c>
      <c r="Q532">
        <v>19</v>
      </c>
      <c r="R532">
        <v>17</v>
      </c>
      <c r="U532">
        <v>24</v>
      </c>
      <c r="V532">
        <v>19</v>
      </c>
      <c r="W532">
        <v>17</v>
      </c>
    </row>
    <row r="533" spans="1:23">
      <c r="A533">
        <v>532</v>
      </c>
      <c r="B533" s="1">
        <v>45381</v>
      </c>
      <c r="C533" s="1">
        <v>45427</v>
      </c>
      <c r="D533" s="29">
        <f>Tailordata[[#This Row],[DueDate]]-Tailordata[[#This Row],[Date]]</f>
        <v>46</v>
      </c>
      <c r="E533" t="s">
        <v>27</v>
      </c>
      <c r="F533" t="s">
        <v>30</v>
      </c>
      <c r="G533">
        <v>165</v>
      </c>
      <c r="H533" t="s">
        <v>28</v>
      </c>
      <c r="I533">
        <v>19</v>
      </c>
      <c r="J533">
        <v>36</v>
      </c>
      <c r="K533">
        <v>14</v>
      </c>
      <c r="L533">
        <v>20</v>
      </c>
      <c r="N533">
        <v>39</v>
      </c>
      <c r="O533">
        <v>14</v>
      </c>
      <c r="P533">
        <v>16</v>
      </c>
    </row>
    <row r="534" spans="1:23">
      <c r="A534">
        <v>533</v>
      </c>
      <c r="B534" s="1">
        <v>45347</v>
      </c>
      <c r="C534" s="1">
        <v>45412</v>
      </c>
      <c r="D534" s="29">
        <f>Tailordata[[#This Row],[DueDate]]-Tailordata[[#This Row],[Date]]</f>
        <v>65</v>
      </c>
      <c r="E534" t="s">
        <v>33</v>
      </c>
      <c r="F534" t="s">
        <v>25</v>
      </c>
      <c r="G534">
        <v>499</v>
      </c>
      <c r="H534" t="s">
        <v>28</v>
      </c>
      <c r="I534">
        <v>16</v>
      </c>
      <c r="J534">
        <v>37</v>
      </c>
      <c r="K534">
        <v>16</v>
      </c>
      <c r="L534">
        <v>19</v>
      </c>
      <c r="M534">
        <v>18</v>
      </c>
      <c r="N534">
        <v>50</v>
      </c>
      <c r="O534">
        <v>16</v>
      </c>
      <c r="Q534">
        <v>22</v>
      </c>
      <c r="R534">
        <v>23</v>
      </c>
    </row>
    <row r="535" spans="1:23">
      <c r="A535">
        <v>534</v>
      </c>
      <c r="B535" s="1">
        <v>45367</v>
      </c>
      <c r="C535" s="1">
        <v>45426</v>
      </c>
      <c r="D535" s="29">
        <f>Tailordata[[#This Row],[DueDate]]-Tailordata[[#This Row],[Date]]</f>
        <v>59</v>
      </c>
      <c r="E535" t="s">
        <v>29</v>
      </c>
      <c r="F535" t="s">
        <v>30</v>
      </c>
      <c r="G535">
        <v>440</v>
      </c>
      <c r="H535" t="s">
        <v>26</v>
      </c>
      <c r="O535">
        <v>19</v>
      </c>
      <c r="Q535">
        <v>16</v>
      </c>
      <c r="R535">
        <v>16</v>
      </c>
      <c r="S535">
        <v>16</v>
      </c>
      <c r="T535">
        <v>18</v>
      </c>
      <c r="U535">
        <v>20</v>
      </c>
    </row>
    <row r="536" spans="1:23">
      <c r="A536">
        <v>535</v>
      </c>
      <c r="B536" s="1">
        <v>45320</v>
      </c>
      <c r="C536" s="1">
        <v>45422</v>
      </c>
      <c r="D536" s="29">
        <f>Tailordata[[#This Row],[DueDate]]-Tailordata[[#This Row],[Date]]</f>
        <v>102</v>
      </c>
      <c r="E536" t="s">
        <v>35</v>
      </c>
      <c r="F536" t="s">
        <v>36</v>
      </c>
      <c r="G536">
        <v>360</v>
      </c>
      <c r="H536" t="s">
        <v>26</v>
      </c>
      <c r="O536">
        <v>18</v>
      </c>
      <c r="P536">
        <v>18</v>
      </c>
      <c r="Q536">
        <v>19</v>
      </c>
      <c r="R536">
        <v>20</v>
      </c>
      <c r="U536">
        <v>16</v>
      </c>
      <c r="V536">
        <v>17</v>
      </c>
      <c r="W536">
        <v>15</v>
      </c>
    </row>
    <row r="537" spans="1:23">
      <c r="A537">
        <v>536</v>
      </c>
      <c r="B537" s="1">
        <v>45326</v>
      </c>
      <c r="C537" s="1">
        <v>45422</v>
      </c>
      <c r="D537" s="29">
        <f>Tailordata[[#This Row],[DueDate]]-Tailordata[[#This Row],[Date]]</f>
        <v>96</v>
      </c>
      <c r="E537" t="s">
        <v>22</v>
      </c>
      <c r="F537" t="s">
        <v>23</v>
      </c>
      <c r="G537">
        <v>68</v>
      </c>
      <c r="H537" t="s">
        <v>26</v>
      </c>
      <c r="I537">
        <v>23</v>
      </c>
      <c r="J537">
        <v>47</v>
      </c>
      <c r="K537">
        <v>22</v>
      </c>
      <c r="L537">
        <v>16</v>
      </c>
      <c r="M537">
        <v>23</v>
      </c>
    </row>
    <row r="538" spans="1:23">
      <c r="A538">
        <v>537</v>
      </c>
      <c r="B538" s="1">
        <v>45306</v>
      </c>
      <c r="C538" s="1">
        <v>45411</v>
      </c>
      <c r="D538" s="29">
        <f>Tailordata[[#This Row],[DueDate]]-Tailordata[[#This Row],[Date]]</f>
        <v>105</v>
      </c>
      <c r="E538" t="s">
        <v>29</v>
      </c>
      <c r="F538" t="s">
        <v>36</v>
      </c>
      <c r="G538">
        <v>216</v>
      </c>
      <c r="H538" t="s">
        <v>28</v>
      </c>
      <c r="O538">
        <v>14</v>
      </c>
      <c r="Q538">
        <v>18</v>
      </c>
      <c r="R538">
        <v>23</v>
      </c>
      <c r="S538">
        <v>16</v>
      </c>
      <c r="T538">
        <v>16</v>
      </c>
      <c r="U538">
        <v>15</v>
      </c>
    </row>
    <row r="539" spans="1:23">
      <c r="A539">
        <v>538</v>
      </c>
      <c r="B539" s="1">
        <v>45325</v>
      </c>
      <c r="C539" s="1">
        <v>45423</v>
      </c>
      <c r="D539" s="29">
        <f>Tailordata[[#This Row],[DueDate]]-Tailordata[[#This Row],[Date]]</f>
        <v>98</v>
      </c>
      <c r="E539" t="s">
        <v>27</v>
      </c>
      <c r="F539" t="s">
        <v>30</v>
      </c>
      <c r="G539">
        <v>119</v>
      </c>
      <c r="H539" t="s">
        <v>26</v>
      </c>
      <c r="I539">
        <v>14</v>
      </c>
      <c r="J539">
        <v>30</v>
      </c>
      <c r="K539">
        <v>21</v>
      </c>
      <c r="L539">
        <v>16</v>
      </c>
      <c r="N539">
        <v>35</v>
      </c>
      <c r="O539">
        <v>20</v>
      </c>
      <c r="P539">
        <v>17</v>
      </c>
    </row>
    <row r="540" spans="1:23">
      <c r="A540">
        <v>539</v>
      </c>
      <c r="B540" s="1">
        <v>45317</v>
      </c>
      <c r="C540" s="1">
        <v>45424</v>
      </c>
      <c r="D540" s="29">
        <f>Tailordata[[#This Row],[DueDate]]-Tailordata[[#This Row],[Date]]</f>
        <v>107</v>
      </c>
      <c r="E540" t="s">
        <v>27</v>
      </c>
      <c r="F540" t="s">
        <v>23</v>
      </c>
      <c r="G540">
        <v>178</v>
      </c>
      <c r="H540" t="s">
        <v>34</v>
      </c>
      <c r="I540">
        <v>24</v>
      </c>
      <c r="J540">
        <v>37</v>
      </c>
      <c r="K540">
        <v>15</v>
      </c>
      <c r="L540">
        <v>18</v>
      </c>
      <c r="N540">
        <v>24</v>
      </c>
      <c r="O540">
        <v>15</v>
      </c>
      <c r="P540">
        <v>17</v>
      </c>
    </row>
    <row r="541" spans="1:23">
      <c r="A541">
        <v>540</v>
      </c>
      <c r="B541" s="1">
        <v>45377</v>
      </c>
      <c r="C541" s="1">
        <v>45424</v>
      </c>
      <c r="D541" s="29">
        <f>Tailordata[[#This Row],[DueDate]]-Tailordata[[#This Row],[Date]]</f>
        <v>47</v>
      </c>
      <c r="E541" t="s">
        <v>27</v>
      </c>
      <c r="F541" t="s">
        <v>36</v>
      </c>
      <c r="G541">
        <v>406</v>
      </c>
      <c r="H541" t="s">
        <v>28</v>
      </c>
      <c r="I541">
        <v>23</v>
      </c>
      <c r="J541">
        <v>34</v>
      </c>
      <c r="K541">
        <v>17</v>
      </c>
      <c r="L541">
        <v>24</v>
      </c>
      <c r="N541">
        <v>25</v>
      </c>
      <c r="O541">
        <v>22</v>
      </c>
      <c r="P541">
        <v>21</v>
      </c>
    </row>
    <row r="542" spans="1:23">
      <c r="A542">
        <v>541</v>
      </c>
      <c r="B542" s="1">
        <v>45313</v>
      </c>
      <c r="C542" s="1">
        <v>45421</v>
      </c>
      <c r="D542" s="29">
        <f>Tailordata[[#This Row],[DueDate]]-Tailordata[[#This Row],[Date]]</f>
        <v>108</v>
      </c>
      <c r="E542" t="s">
        <v>33</v>
      </c>
      <c r="F542" t="s">
        <v>23</v>
      </c>
      <c r="G542">
        <v>114</v>
      </c>
      <c r="H542" t="s">
        <v>26</v>
      </c>
      <c r="I542">
        <v>23</v>
      </c>
      <c r="J542">
        <v>25</v>
      </c>
      <c r="K542">
        <v>22</v>
      </c>
      <c r="L542">
        <v>19</v>
      </c>
      <c r="M542">
        <v>23</v>
      </c>
      <c r="N542">
        <v>31</v>
      </c>
      <c r="O542">
        <v>19</v>
      </c>
      <c r="Q542">
        <v>19</v>
      </c>
      <c r="R542">
        <v>19</v>
      </c>
    </row>
    <row r="543" spans="1:23">
      <c r="A543">
        <v>542</v>
      </c>
      <c r="B543" s="1">
        <v>45316</v>
      </c>
      <c r="C543" s="1">
        <v>45426</v>
      </c>
      <c r="D543" s="29">
        <f>Tailordata[[#This Row],[DueDate]]-Tailordata[[#This Row],[Date]]</f>
        <v>110</v>
      </c>
      <c r="E543" t="s">
        <v>33</v>
      </c>
      <c r="F543" t="s">
        <v>32</v>
      </c>
      <c r="G543">
        <v>190</v>
      </c>
      <c r="H543" t="s">
        <v>26</v>
      </c>
      <c r="I543">
        <v>21</v>
      </c>
      <c r="J543">
        <v>27</v>
      </c>
      <c r="K543">
        <v>16</v>
      </c>
      <c r="L543">
        <v>15</v>
      </c>
      <c r="M543">
        <v>22</v>
      </c>
      <c r="N543">
        <v>21</v>
      </c>
      <c r="O543">
        <v>16</v>
      </c>
      <c r="Q543">
        <v>24</v>
      </c>
      <c r="R543">
        <v>18</v>
      </c>
    </row>
    <row r="544" spans="1:23">
      <c r="A544">
        <v>543</v>
      </c>
      <c r="B544" s="1">
        <v>45341</v>
      </c>
      <c r="C544" s="1">
        <v>45431</v>
      </c>
      <c r="D544" s="29">
        <f>Tailordata[[#This Row],[DueDate]]-Tailordata[[#This Row],[Date]]</f>
        <v>90</v>
      </c>
      <c r="E544" t="s">
        <v>27</v>
      </c>
      <c r="F544" t="s">
        <v>32</v>
      </c>
      <c r="G544">
        <v>81</v>
      </c>
      <c r="H544" t="s">
        <v>31</v>
      </c>
      <c r="I544">
        <v>18</v>
      </c>
      <c r="J544">
        <v>36</v>
      </c>
      <c r="K544">
        <v>17</v>
      </c>
      <c r="L544">
        <v>19</v>
      </c>
      <c r="N544">
        <v>33</v>
      </c>
      <c r="O544">
        <v>17</v>
      </c>
      <c r="P544">
        <v>15</v>
      </c>
    </row>
    <row r="545" spans="1:23">
      <c r="A545">
        <v>544</v>
      </c>
      <c r="B545" s="1">
        <v>45315</v>
      </c>
      <c r="C545" s="1">
        <v>45418</v>
      </c>
      <c r="D545" s="29">
        <f>Tailordata[[#This Row],[DueDate]]-Tailordata[[#This Row],[Date]]</f>
        <v>103</v>
      </c>
      <c r="E545" t="s">
        <v>27</v>
      </c>
      <c r="F545" t="s">
        <v>23</v>
      </c>
      <c r="G545">
        <v>173</v>
      </c>
      <c r="H545" t="s">
        <v>24</v>
      </c>
      <c r="I545">
        <v>20</v>
      </c>
      <c r="J545">
        <v>27</v>
      </c>
      <c r="K545">
        <v>23</v>
      </c>
      <c r="L545">
        <v>17</v>
      </c>
      <c r="N545">
        <v>33</v>
      </c>
      <c r="O545">
        <v>20</v>
      </c>
      <c r="P545">
        <v>22</v>
      </c>
    </row>
    <row r="546" spans="1:23">
      <c r="A546">
        <v>545</v>
      </c>
      <c r="B546" s="1">
        <v>45349</v>
      </c>
      <c r="C546" s="1">
        <v>45416</v>
      </c>
      <c r="D546" s="29">
        <f>Tailordata[[#This Row],[DueDate]]-Tailordata[[#This Row],[Date]]</f>
        <v>67</v>
      </c>
      <c r="E546" t="s">
        <v>29</v>
      </c>
      <c r="F546" t="s">
        <v>32</v>
      </c>
      <c r="G546">
        <v>242</v>
      </c>
      <c r="H546" t="s">
        <v>34</v>
      </c>
      <c r="O546">
        <v>20</v>
      </c>
      <c r="Q546">
        <v>19</v>
      </c>
      <c r="R546">
        <v>14</v>
      </c>
      <c r="S546">
        <v>14</v>
      </c>
      <c r="T546">
        <v>21</v>
      </c>
      <c r="U546">
        <v>19</v>
      </c>
    </row>
    <row r="547" spans="1:23">
      <c r="A547">
        <v>546</v>
      </c>
      <c r="B547" s="1">
        <v>45407</v>
      </c>
      <c r="C547" s="1">
        <v>45418</v>
      </c>
      <c r="D547" s="29">
        <f>Tailordata[[#This Row],[DueDate]]-Tailordata[[#This Row],[Date]]</f>
        <v>11</v>
      </c>
      <c r="E547" t="s">
        <v>33</v>
      </c>
      <c r="F547" t="s">
        <v>25</v>
      </c>
      <c r="G547">
        <v>320</v>
      </c>
      <c r="H547" t="s">
        <v>34</v>
      </c>
      <c r="I547">
        <v>14</v>
      </c>
      <c r="J547">
        <v>42</v>
      </c>
      <c r="K547">
        <v>23</v>
      </c>
      <c r="L547">
        <v>18</v>
      </c>
      <c r="M547">
        <v>22</v>
      </c>
      <c r="N547">
        <v>46</v>
      </c>
      <c r="O547">
        <v>23</v>
      </c>
      <c r="Q547">
        <v>20</v>
      </c>
      <c r="R547">
        <v>19</v>
      </c>
    </row>
    <row r="548" spans="1:23">
      <c r="A548">
        <v>547</v>
      </c>
      <c r="B548" s="1">
        <v>45364</v>
      </c>
      <c r="C548" s="1">
        <v>45430</v>
      </c>
      <c r="D548" s="29">
        <f>Tailordata[[#This Row],[DueDate]]-Tailordata[[#This Row],[Date]]</f>
        <v>66</v>
      </c>
      <c r="E548" t="s">
        <v>33</v>
      </c>
      <c r="F548" t="s">
        <v>30</v>
      </c>
      <c r="G548">
        <v>297</v>
      </c>
      <c r="H548" t="s">
        <v>24</v>
      </c>
      <c r="I548">
        <v>16</v>
      </c>
      <c r="J548">
        <v>46</v>
      </c>
      <c r="K548">
        <v>21</v>
      </c>
      <c r="L548">
        <v>21</v>
      </c>
      <c r="M548">
        <v>17</v>
      </c>
      <c r="N548">
        <v>31</v>
      </c>
      <c r="O548">
        <v>22</v>
      </c>
      <c r="Q548">
        <v>16</v>
      </c>
      <c r="R548">
        <v>19</v>
      </c>
    </row>
    <row r="549" spans="1:23">
      <c r="A549">
        <v>548</v>
      </c>
      <c r="B549" s="1">
        <v>45330</v>
      </c>
      <c r="C549" s="1">
        <v>45415</v>
      </c>
      <c r="D549" s="29">
        <f>Tailordata[[#This Row],[DueDate]]-Tailordata[[#This Row],[Date]]</f>
        <v>85</v>
      </c>
      <c r="E549" t="s">
        <v>27</v>
      </c>
      <c r="F549" t="s">
        <v>32</v>
      </c>
      <c r="G549">
        <v>224</v>
      </c>
      <c r="H549" t="s">
        <v>24</v>
      </c>
      <c r="I549">
        <v>19</v>
      </c>
      <c r="J549">
        <v>26</v>
      </c>
      <c r="K549">
        <v>17</v>
      </c>
      <c r="L549">
        <v>21</v>
      </c>
      <c r="N549">
        <v>47</v>
      </c>
      <c r="O549">
        <v>21</v>
      </c>
      <c r="P549">
        <v>18</v>
      </c>
    </row>
    <row r="550" spans="1:23">
      <c r="A550">
        <v>549</v>
      </c>
      <c r="B550" s="1">
        <v>45351</v>
      </c>
      <c r="C550" s="1">
        <v>45411</v>
      </c>
      <c r="D550" s="29">
        <f>Tailordata[[#This Row],[DueDate]]-Tailordata[[#This Row],[Date]]</f>
        <v>60</v>
      </c>
      <c r="E550" t="s">
        <v>29</v>
      </c>
      <c r="F550" t="s">
        <v>32</v>
      </c>
      <c r="G550">
        <v>316</v>
      </c>
      <c r="H550" t="s">
        <v>24</v>
      </c>
      <c r="O550">
        <v>14</v>
      </c>
      <c r="Q550">
        <v>16</v>
      </c>
      <c r="R550">
        <v>20</v>
      </c>
      <c r="S550">
        <v>21</v>
      </c>
      <c r="T550">
        <v>22</v>
      </c>
      <c r="U550">
        <v>23</v>
      </c>
    </row>
    <row r="551" spans="1:23">
      <c r="A551">
        <v>550</v>
      </c>
      <c r="B551" s="1">
        <v>45331</v>
      </c>
      <c r="C551" s="1">
        <v>45412</v>
      </c>
      <c r="D551" s="29">
        <f>Tailordata[[#This Row],[DueDate]]-Tailordata[[#This Row],[Date]]</f>
        <v>81</v>
      </c>
      <c r="E551" t="s">
        <v>35</v>
      </c>
      <c r="F551" t="s">
        <v>32</v>
      </c>
      <c r="G551">
        <v>232</v>
      </c>
      <c r="H551" t="s">
        <v>28</v>
      </c>
      <c r="O551">
        <v>22</v>
      </c>
      <c r="P551">
        <v>24</v>
      </c>
      <c r="Q551">
        <v>17</v>
      </c>
      <c r="R551">
        <v>16</v>
      </c>
      <c r="U551">
        <v>14</v>
      </c>
      <c r="V551">
        <v>16</v>
      </c>
      <c r="W551">
        <v>20</v>
      </c>
    </row>
    <row r="552" spans="1:23">
      <c r="A552">
        <v>551</v>
      </c>
      <c r="B552" s="1">
        <v>45356</v>
      </c>
      <c r="C552" s="1">
        <v>45426</v>
      </c>
      <c r="D552" s="29">
        <f>Tailordata[[#This Row],[DueDate]]-Tailordata[[#This Row],[Date]]</f>
        <v>70</v>
      </c>
      <c r="E552" t="s">
        <v>29</v>
      </c>
      <c r="F552" t="s">
        <v>32</v>
      </c>
      <c r="G552">
        <v>96</v>
      </c>
      <c r="H552" t="s">
        <v>26</v>
      </c>
      <c r="O552">
        <v>22</v>
      </c>
      <c r="Q552">
        <v>18</v>
      </c>
      <c r="R552">
        <v>21</v>
      </c>
      <c r="S552">
        <v>18</v>
      </c>
      <c r="T552">
        <v>14</v>
      </c>
      <c r="U552">
        <v>19</v>
      </c>
    </row>
    <row r="553" spans="1:23">
      <c r="A553">
        <v>552</v>
      </c>
      <c r="B553" s="1">
        <v>45382</v>
      </c>
      <c r="C553" s="1">
        <v>45412</v>
      </c>
      <c r="D553" s="29">
        <f>Tailordata[[#This Row],[DueDate]]-Tailordata[[#This Row],[Date]]</f>
        <v>30</v>
      </c>
      <c r="E553" t="s">
        <v>33</v>
      </c>
      <c r="F553" t="s">
        <v>25</v>
      </c>
      <c r="G553">
        <v>143</v>
      </c>
      <c r="H553" t="s">
        <v>31</v>
      </c>
      <c r="I553">
        <v>15</v>
      </c>
      <c r="J553">
        <v>44</v>
      </c>
      <c r="K553">
        <v>21</v>
      </c>
      <c r="L553">
        <v>18</v>
      </c>
      <c r="M553">
        <v>17</v>
      </c>
      <c r="N553">
        <v>27</v>
      </c>
      <c r="O553">
        <v>15</v>
      </c>
      <c r="Q553">
        <v>16</v>
      </c>
      <c r="R553">
        <v>15</v>
      </c>
    </row>
    <row r="554" spans="1:23">
      <c r="A554">
        <v>553</v>
      </c>
      <c r="B554" s="1">
        <v>45399</v>
      </c>
      <c r="C554" s="1">
        <v>45439</v>
      </c>
      <c r="D554" s="29">
        <f>Tailordata[[#This Row],[DueDate]]-Tailordata[[#This Row],[Date]]</f>
        <v>40</v>
      </c>
      <c r="E554" t="s">
        <v>35</v>
      </c>
      <c r="F554" t="s">
        <v>36</v>
      </c>
      <c r="G554">
        <v>211</v>
      </c>
      <c r="H554" t="s">
        <v>26</v>
      </c>
      <c r="O554">
        <v>19</v>
      </c>
      <c r="P554">
        <v>23</v>
      </c>
      <c r="Q554">
        <v>18</v>
      </c>
      <c r="R554">
        <v>14</v>
      </c>
      <c r="U554">
        <v>23</v>
      </c>
      <c r="V554">
        <v>14</v>
      </c>
      <c r="W554">
        <v>22</v>
      </c>
    </row>
    <row r="555" spans="1:23">
      <c r="A555">
        <v>554</v>
      </c>
      <c r="B555" s="1">
        <v>45359</v>
      </c>
      <c r="C555" s="1">
        <v>45415</v>
      </c>
      <c r="D555" s="29">
        <f>Tailordata[[#This Row],[DueDate]]-Tailordata[[#This Row],[Date]]</f>
        <v>56</v>
      </c>
      <c r="E555" t="s">
        <v>33</v>
      </c>
      <c r="F555" t="s">
        <v>30</v>
      </c>
      <c r="G555">
        <v>244</v>
      </c>
      <c r="H555" t="s">
        <v>24</v>
      </c>
      <c r="I555">
        <v>14</v>
      </c>
      <c r="J555">
        <v>38</v>
      </c>
      <c r="K555">
        <v>17</v>
      </c>
      <c r="L555">
        <v>17</v>
      </c>
      <c r="M555">
        <v>20</v>
      </c>
      <c r="N555">
        <v>30</v>
      </c>
      <c r="O555">
        <v>16</v>
      </c>
      <c r="Q555">
        <v>15</v>
      </c>
      <c r="R555">
        <v>22</v>
      </c>
    </row>
    <row r="556" spans="1:23">
      <c r="A556">
        <v>555</v>
      </c>
      <c r="B556" s="1">
        <v>45333</v>
      </c>
      <c r="C556" s="1">
        <v>45440</v>
      </c>
      <c r="D556" s="29">
        <f>Tailordata[[#This Row],[DueDate]]-Tailordata[[#This Row],[Date]]</f>
        <v>107</v>
      </c>
      <c r="E556" t="s">
        <v>35</v>
      </c>
      <c r="F556" t="s">
        <v>36</v>
      </c>
      <c r="G556">
        <v>63</v>
      </c>
      <c r="H556" t="s">
        <v>28</v>
      </c>
      <c r="O556">
        <v>23</v>
      </c>
      <c r="P556">
        <v>19</v>
      </c>
      <c r="Q556">
        <v>17</v>
      </c>
      <c r="R556">
        <v>15</v>
      </c>
      <c r="U556">
        <v>15</v>
      </c>
      <c r="V556">
        <v>19</v>
      </c>
      <c r="W556">
        <v>17</v>
      </c>
    </row>
    <row r="557" spans="1:23">
      <c r="A557">
        <v>556</v>
      </c>
      <c r="B557" s="1">
        <v>45326</v>
      </c>
      <c r="C557" s="1">
        <v>45420</v>
      </c>
      <c r="D557" s="29">
        <f>Tailordata[[#This Row],[DueDate]]-Tailordata[[#This Row],[Date]]</f>
        <v>94</v>
      </c>
      <c r="E557" t="s">
        <v>22</v>
      </c>
      <c r="F557" t="s">
        <v>23</v>
      </c>
      <c r="G557">
        <v>334</v>
      </c>
      <c r="H557" t="s">
        <v>31</v>
      </c>
      <c r="I557">
        <v>18</v>
      </c>
      <c r="J557">
        <v>23</v>
      </c>
      <c r="K557">
        <v>22</v>
      </c>
      <c r="L557">
        <v>16</v>
      </c>
      <c r="M557">
        <v>14</v>
      </c>
    </row>
    <row r="558" spans="1:23">
      <c r="A558">
        <v>557</v>
      </c>
      <c r="B558" s="1">
        <v>45359</v>
      </c>
      <c r="C558" s="1">
        <v>45425</v>
      </c>
      <c r="D558" s="29">
        <f>Tailordata[[#This Row],[DueDate]]-Tailordata[[#This Row],[Date]]</f>
        <v>66</v>
      </c>
      <c r="E558" t="s">
        <v>27</v>
      </c>
      <c r="F558" t="s">
        <v>32</v>
      </c>
      <c r="G558">
        <v>377</v>
      </c>
      <c r="H558" t="s">
        <v>31</v>
      </c>
      <c r="I558">
        <v>14</v>
      </c>
      <c r="J558">
        <v>41</v>
      </c>
      <c r="K558">
        <v>21</v>
      </c>
      <c r="L558">
        <v>16</v>
      </c>
      <c r="N558">
        <v>40</v>
      </c>
      <c r="O558">
        <v>17</v>
      </c>
      <c r="P558">
        <v>17</v>
      </c>
    </row>
    <row r="559" spans="1:23">
      <c r="A559">
        <v>558</v>
      </c>
      <c r="B559" s="1">
        <v>45381</v>
      </c>
      <c r="C559" s="1">
        <v>45427</v>
      </c>
      <c r="D559" s="29">
        <f>Tailordata[[#This Row],[DueDate]]-Tailordata[[#This Row],[Date]]</f>
        <v>46</v>
      </c>
      <c r="E559" t="s">
        <v>27</v>
      </c>
      <c r="F559" t="s">
        <v>30</v>
      </c>
      <c r="G559">
        <v>479</v>
      </c>
      <c r="H559" t="s">
        <v>31</v>
      </c>
      <c r="I559">
        <v>15</v>
      </c>
      <c r="J559">
        <v>41</v>
      </c>
      <c r="K559">
        <v>16</v>
      </c>
      <c r="L559">
        <v>23</v>
      </c>
      <c r="N559">
        <v>42</v>
      </c>
      <c r="O559">
        <v>19</v>
      </c>
      <c r="P559">
        <v>22</v>
      </c>
    </row>
    <row r="560" spans="1:23">
      <c r="A560">
        <v>559</v>
      </c>
      <c r="B560" s="1">
        <v>45295</v>
      </c>
      <c r="C560" s="1">
        <v>45416</v>
      </c>
      <c r="D560" s="29">
        <f>Tailordata[[#This Row],[DueDate]]-Tailordata[[#This Row],[Date]]</f>
        <v>121</v>
      </c>
      <c r="E560" t="s">
        <v>35</v>
      </c>
      <c r="F560" t="s">
        <v>30</v>
      </c>
      <c r="G560">
        <v>303</v>
      </c>
      <c r="H560" t="s">
        <v>24</v>
      </c>
      <c r="O560">
        <v>18</v>
      </c>
      <c r="P560">
        <v>15</v>
      </c>
      <c r="Q560">
        <v>17</v>
      </c>
      <c r="R560">
        <v>18</v>
      </c>
      <c r="U560">
        <v>16</v>
      </c>
      <c r="V560">
        <v>21</v>
      </c>
      <c r="W560">
        <v>24</v>
      </c>
    </row>
    <row r="561" spans="1:23">
      <c r="A561">
        <v>560</v>
      </c>
      <c r="B561" s="1">
        <v>45318</v>
      </c>
      <c r="C561" s="1">
        <v>45433</v>
      </c>
      <c r="D561" s="29">
        <f>Tailordata[[#This Row],[DueDate]]-Tailordata[[#This Row],[Date]]</f>
        <v>115</v>
      </c>
      <c r="E561" t="s">
        <v>35</v>
      </c>
      <c r="F561" t="s">
        <v>23</v>
      </c>
      <c r="G561">
        <v>200</v>
      </c>
      <c r="H561" t="s">
        <v>28</v>
      </c>
      <c r="O561">
        <v>21</v>
      </c>
      <c r="P561">
        <v>24</v>
      </c>
      <c r="Q561">
        <v>18</v>
      </c>
      <c r="R561">
        <v>20</v>
      </c>
      <c r="U561">
        <v>22</v>
      </c>
      <c r="V561">
        <v>20</v>
      </c>
      <c r="W561">
        <v>14</v>
      </c>
    </row>
    <row r="562" spans="1:23">
      <c r="A562">
        <v>561</v>
      </c>
      <c r="B562" s="1">
        <v>45294</v>
      </c>
      <c r="C562" s="1">
        <v>45426</v>
      </c>
      <c r="D562" s="29">
        <f>Tailordata[[#This Row],[DueDate]]-Tailordata[[#This Row],[Date]]</f>
        <v>132</v>
      </c>
      <c r="E562" t="s">
        <v>29</v>
      </c>
      <c r="F562" t="s">
        <v>30</v>
      </c>
      <c r="G562">
        <v>267</v>
      </c>
      <c r="H562" t="s">
        <v>31</v>
      </c>
      <c r="O562">
        <v>19</v>
      </c>
      <c r="Q562">
        <v>20</v>
      </c>
      <c r="R562">
        <v>24</v>
      </c>
      <c r="S562">
        <v>15</v>
      </c>
      <c r="T562">
        <v>21</v>
      </c>
      <c r="U562">
        <v>20</v>
      </c>
    </row>
    <row r="563" spans="1:23">
      <c r="A563">
        <v>562</v>
      </c>
      <c r="B563" s="1">
        <v>45379</v>
      </c>
      <c r="C563" s="1">
        <v>45425</v>
      </c>
      <c r="D563" s="29">
        <f>Tailordata[[#This Row],[DueDate]]-Tailordata[[#This Row],[Date]]</f>
        <v>46</v>
      </c>
      <c r="E563" t="s">
        <v>22</v>
      </c>
      <c r="F563" t="s">
        <v>25</v>
      </c>
      <c r="G563">
        <v>188</v>
      </c>
      <c r="H563" t="s">
        <v>24</v>
      </c>
      <c r="I563">
        <v>19</v>
      </c>
      <c r="J563">
        <v>48</v>
      </c>
      <c r="K563">
        <v>24</v>
      </c>
      <c r="L563">
        <v>21</v>
      </c>
      <c r="M563">
        <v>18</v>
      </c>
    </row>
    <row r="564" spans="1:23">
      <c r="A564">
        <v>563</v>
      </c>
      <c r="B564" s="1">
        <v>45398</v>
      </c>
      <c r="C564" s="1">
        <v>45421</v>
      </c>
      <c r="D564" s="29">
        <f>Tailordata[[#This Row],[DueDate]]-Tailordata[[#This Row],[Date]]</f>
        <v>23</v>
      </c>
      <c r="E564" t="s">
        <v>27</v>
      </c>
      <c r="F564" t="s">
        <v>23</v>
      </c>
      <c r="G564">
        <v>220</v>
      </c>
      <c r="H564" t="s">
        <v>31</v>
      </c>
      <c r="I564">
        <v>24</v>
      </c>
      <c r="J564">
        <v>38</v>
      </c>
      <c r="K564">
        <v>19</v>
      </c>
      <c r="L564">
        <v>20</v>
      </c>
      <c r="N564">
        <v>29</v>
      </c>
      <c r="O564">
        <v>15</v>
      </c>
      <c r="P564">
        <v>16</v>
      </c>
    </row>
    <row r="565" spans="1:23">
      <c r="A565">
        <v>564</v>
      </c>
      <c r="B565" s="1">
        <v>45309</v>
      </c>
      <c r="C565" s="1">
        <v>45427</v>
      </c>
      <c r="D565" s="29">
        <f>Tailordata[[#This Row],[DueDate]]-Tailordata[[#This Row],[Date]]</f>
        <v>118</v>
      </c>
      <c r="E565" t="s">
        <v>27</v>
      </c>
      <c r="F565" t="s">
        <v>25</v>
      </c>
      <c r="G565">
        <v>58</v>
      </c>
      <c r="H565" t="s">
        <v>26</v>
      </c>
      <c r="I565">
        <v>19</v>
      </c>
      <c r="J565">
        <v>36</v>
      </c>
      <c r="K565">
        <v>23</v>
      </c>
      <c r="L565">
        <v>24</v>
      </c>
      <c r="N565">
        <v>49</v>
      </c>
      <c r="O565">
        <v>18</v>
      </c>
      <c r="P565">
        <v>20</v>
      </c>
    </row>
    <row r="566" spans="1:23">
      <c r="A566">
        <v>565</v>
      </c>
      <c r="B566" s="1">
        <v>45339</v>
      </c>
      <c r="C566" s="1">
        <v>45411</v>
      </c>
      <c r="D566" s="29">
        <f>Tailordata[[#This Row],[DueDate]]-Tailordata[[#This Row],[Date]]</f>
        <v>72</v>
      </c>
      <c r="E566" t="s">
        <v>27</v>
      </c>
      <c r="F566" t="s">
        <v>25</v>
      </c>
      <c r="G566">
        <v>253</v>
      </c>
      <c r="H566" t="s">
        <v>28</v>
      </c>
      <c r="I566">
        <v>18</v>
      </c>
      <c r="J566">
        <v>48</v>
      </c>
      <c r="K566">
        <v>20</v>
      </c>
      <c r="L566">
        <v>14</v>
      </c>
      <c r="N566">
        <v>42</v>
      </c>
      <c r="O566">
        <v>15</v>
      </c>
      <c r="P566">
        <v>17</v>
      </c>
    </row>
    <row r="567" spans="1:23">
      <c r="A567">
        <v>566</v>
      </c>
      <c r="B567" s="1">
        <v>45311</v>
      </c>
      <c r="C567" s="1">
        <v>45413</v>
      </c>
      <c r="D567" s="29">
        <f>Tailordata[[#This Row],[DueDate]]-Tailordata[[#This Row],[Date]]</f>
        <v>102</v>
      </c>
      <c r="E567" t="s">
        <v>22</v>
      </c>
      <c r="F567" t="s">
        <v>32</v>
      </c>
      <c r="G567">
        <v>273</v>
      </c>
      <c r="H567" t="s">
        <v>26</v>
      </c>
      <c r="I567">
        <v>15</v>
      </c>
      <c r="J567">
        <v>20</v>
      </c>
      <c r="K567">
        <v>16</v>
      </c>
      <c r="L567">
        <v>20</v>
      </c>
      <c r="M567">
        <v>20</v>
      </c>
    </row>
    <row r="568" spans="1:23">
      <c r="A568">
        <v>567</v>
      </c>
      <c r="B568" s="1">
        <v>45360</v>
      </c>
      <c r="C568" s="1">
        <v>45426</v>
      </c>
      <c r="D568" s="29">
        <f>Tailordata[[#This Row],[DueDate]]-Tailordata[[#This Row],[Date]]</f>
        <v>66</v>
      </c>
      <c r="E568" t="s">
        <v>33</v>
      </c>
      <c r="F568" t="s">
        <v>25</v>
      </c>
      <c r="G568">
        <v>118</v>
      </c>
      <c r="H568" t="s">
        <v>34</v>
      </c>
      <c r="I568">
        <v>18</v>
      </c>
      <c r="J568">
        <v>39</v>
      </c>
      <c r="K568">
        <v>15</v>
      </c>
      <c r="L568">
        <v>19</v>
      </c>
      <c r="M568">
        <v>16</v>
      </c>
      <c r="N568">
        <v>46</v>
      </c>
      <c r="O568">
        <v>20</v>
      </c>
      <c r="Q568">
        <v>17</v>
      </c>
      <c r="R568">
        <v>14</v>
      </c>
    </row>
    <row r="569" spans="1:23">
      <c r="A569">
        <v>568</v>
      </c>
      <c r="B569" s="1">
        <v>45317</v>
      </c>
      <c r="C569" s="1">
        <v>45440</v>
      </c>
      <c r="D569" s="29">
        <f>Tailordata[[#This Row],[DueDate]]-Tailordata[[#This Row],[Date]]</f>
        <v>123</v>
      </c>
      <c r="E569" t="s">
        <v>22</v>
      </c>
      <c r="F569" t="s">
        <v>23</v>
      </c>
      <c r="G569">
        <v>151</v>
      </c>
      <c r="H569" t="s">
        <v>26</v>
      </c>
      <c r="I569">
        <v>19</v>
      </c>
      <c r="J569">
        <v>26</v>
      </c>
      <c r="K569">
        <v>15</v>
      </c>
      <c r="L569">
        <v>24</v>
      </c>
      <c r="M569">
        <v>14</v>
      </c>
    </row>
    <row r="570" spans="1:23">
      <c r="A570">
        <v>569</v>
      </c>
      <c r="B570" s="1">
        <v>45325</v>
      </c>
      <c r="C570" s="1">
        <v>45437</v>
      </c>
      <c r="D570" s="29">
        <f>Tailordata[[#This Row],[DueDate]]-Tailordata[[#This Row],[Date]]</f>
        <v>112</v>
      </c>
      <c r="E570" t="s">
        <v>29</v>
      </c>
      <c r="F570" t="s">
        <v>36</v>
      </c>
      <c r="G570">
        <v>169</v>
      </c>
      <c r="H570" t="s">
        <v>24</v>
      </c>
      <c r="O570">
        <v>23</v>
      </c>
      <c r="Q570">
        <v>17</v>
      </c>
      <c r="R570">
        <v>17</v>
      </c>
      <c r="S570">
        <v>22</v>
      </c>
      <c r="T570">
        <v>22</v>
      </c>
      <c r="U570">
        <v>18</v>
      </c>
    </row>
    <row r="571" spans="1:23">
      <c r="A571">
        <v>570</v>
      </c>
      <c r="B571" s="1">
        <v>45356</v>
      </c>
      <c r="C571" s="1">
        <v>45412</v>
      </c>
      <c r="D571" s="29">
        <f>Tailordata[[#This Row],[DueDate]]-Tailordata[[#This Row],[Date]]</f>
        <v>56</v>
      </c>
      <c r="E571" t="s">
        <v>35</v>
      </c>
      <c r="F571" t="s">
        <v>30</v>
      </c>
      <c r="G571">
        <v>333</v>
      </c>
      <c r="H571" t="s">
        <v>28</v>
      </c>
      <c r="O571">
        <v>15</v>
      </c>
      <c r="P571">
        <v>24</v>
      </c>
      <c r="Q571">
        <v>15</v>
      </c>
      <c r="R571">
        <v>14</v>
      </c>
      <c r="U571">
        <v>22</v>
      </c>
      <c r="V571">
        <v>15</v>
      </c>
      <c r="W571">
        <v>24</v>
      </c>
    </row>
    <row r="572" spans="1:23">
      <c r="A572">
        <v>571</v>
      </c>
      <c r="B572" s="1">
        <v>45360</v>
      </c>
      <c r="C572" s="1">
        <v>45437</v>
      </c>
      <c r="D572" s="29">
        <f>Tailordata[[#This Row],[DueDate]]-Tailordata[[#This Row],[Date]]</f>
        <v>77</v>
      </c>
      <c r="E572" t="s">
        <v>22</v>
      </c>
      <c r="F572" t="s">
        <v>23</v>
      </c>
      <c r="G572">
        <v>401</v>
      </c>
      <c r="H572" t="s">
        <v>28</v>
      </c>
      <c r="I572">
        <v>16</v>
      </c>
      <c r="J572">
        <v>31</v>
      </c>
      <c r="K572">
        <v>18</v>
      </c>
      <c r="L572">
        <v>22</v>
      </c>
      <c r="M572">
        <v>14</v>
      </c>
    </row>
    <row r="573" spans="1:23">
      <c r="A573">
        <v>572</v>
      </c>
      <c r="B573" s="1">
        <v>45388</v>
      </c>
      <c r="C573" s="1">
        <v>45430</v>
      </c>
      <c r="D573" s="29">
        <f>Tailordata[[#This Row],[DueDate]]-Tailordata[[#This Row],[Date]]</f>
        <v>42</v>
      </c>
      <c r="E573" t="s">
        <v>33</v>
      </c>
      <c r="F573" t="s">
        <v>36</v>
      </c>
      <c r="G573">
        <v>390</v>
      </c>
      <c r="H573" t="s">
        <v>24</v>
      </c>
      <c r="I573">
        <v>24</v>
      </c>
      <c r="J573">
        <v>39</v>
      </c>
      <c r="K573">
        <v>19</v>
      </c>
      <c r="L573">
        <v>16</v>
      </c>
      <c r="M573">
        <v>16</v>
      </c>
      <c r="N573">
        <v>41</v>
      </c>
      <c r="O573">
        <v>19</v>
      </c>
      <c r="Q573">
        <v>23</v>
      </c>
      <c r="R573">
        <v>17</v>
      </c>
    </row>
    <row r="574" spans="1:23">
      <c r="A574">
        <v>573</v>
      </c>
      <c r="B574" s="1">
        <v>45344</v>
      </c>
      <c r="C574" s="1">
        <v>45422</v>
      </c>
      <c r="D574" s="29">
        <f>Tailordata[[#This Row],[DueDate]]-Tailordata[[#This Row],[Date]]</f>
        <v>78</v>
      </c>
      <c r="E574" t="s">
        <v>27</v>
      </c>
      <c r="F574" t="s">
        <v>23</v>
      </c>
      <c r="G574">
        <v>119</v>
      </c>
      <c r="H574" t="s">
        <v>24</v>
      </c>
      <c r="I574">
        <v>18</v>
      </c>
      <c r="J574">
        <v>47</v>
      </c>
      <c r="K574">
        <v>15</v>
      </c>
      <c r="L574">
        <v>21</v>
      </c>
      <c r="N574">
        <v>27</v>
      </c>
      <c r="O574">
        <v>18</v>
      </c>
      <c r="P574">
        <v>22</v>
      </c>
    </row>
    <row r="575" spans="1:23">
      <c r="A575">
        <v>574</v>
      </c>
      <c r="B575" s="1">
        <v>45347</v>
      </c>
      <c r="C575" s="1">
        <v>45439</v>
      </c>
      <c r="D575" s="29">
        <f>Tailordata[[#This Row],[DueDate]]-Tailordata[[#This Row],[Date]]</f>
        <v>92</v>
      </c>
      <c r="E575" t="s">
        <v>35</v>
      </c>
      <c r="F575" t="s">
        <v>32</v>
      </c>
      <c r="G575">
        <v>413</v>
      </c>
      <c r="H575" t="s">
        <v>31</v>
      </c>
      <c r="O575">
        <v>16</v>
      </c>
      <c r="P575">
        <v>24</v>
      </c>
      <c r="Q575">
        <v>24</v>
      </c>
      <c r="R575">
        <v>21</v>
      </c>
      <c r="U575">
        <v>21</v>
      </c>
      <c r="V575">
        <v>22</v>
      </c>
      <c r="W575">
        <v>24</v>
      </c>
    </row>
    <row r="576" spans="1:23">
      <c r="A576">
        <v>575</v>
      </c>
      <c r="B576" s="1">
        <v>45351</v>
      </c>
      <c r="C576" s="1">
        <v>45419</v>
      </c>
      <c r="D576" s="29">
        <f>Tailordata[[#This Row],[DueDate]]-Tailordata[[#This Row],[Date]]</f>
        <v>68</v>
      </c>
      <c r="E576" t="s">
        <v>22</v>
      </c>
      <c r="F576" t="s">
        <v>23</v>
      </c>
      <c r="G576">
        <v>145</v>
      </c>
      <c r="H576" t="s">
        <v>24</v>
      </c>
      <c r="I576">
        <v>23</v>
      </c>
      <c r="J576">
        <v>35</v>
      </c>
      <c r="K576">
        <v>18</v>
      </c>
      <c r="L576">
        <v>23</v>
      </c>
      <c r="M576">
        <v>19</v>
      </c>
    </row>
    <row r="577" spans="1:23">
      <c r="A577">
        <v>576</v>
      </c>
      <c r="B577" s="1">
        <v>45360</v>
      </c>
      <c r="C577" s="1">
        <v>45440</v>
      </c>
      <c r="D577" s="29">
        <f>Tailordata[[#This Row],[DueDate]]-Tailordata[[#This Row],[Date]]</f>
        <v>80</v>
      </c>
      <c r="E577" t="s">
        <v>33</v>
      </c>
      <c r="F577" t="s">
        <v>30</v>
      </c>
      <c r="G577">
        <v>165</v>
      </c>
      <c r="H577" t="s">
        <v>24</v>
      </c>
      <c r="I577">
        <v>14</v>
      </c>
      <c r="J577">
        <v>27</v>
      </c>
      <c r="K577">
        <v>18</v>
      </c>
      <c r="L577">
        <v>18</v>
      </c>
      <c r="M577">
        <v>18</v>
      </c>
      <c r="N577">
        <v>20</v>
      </c>
      <c r="O577">
        <v>24</v>
      </c>
      <c r="Q577">
        <v>18</v>
      </c>
      <c r="R577">
        <v>19</v>
      </c>
    </row>
    <row r="578" spans="1:23">
      <c r="A578">
        <v>577</v>
      </c>
      <c r="B578" s="1">
        <v>45310</v>
      </c>
      <c r="C578" s="1">
        <v>45427</v>
      </c>
      <c r="D578" s="29">
        <f>Tailordata[[#This Row],[DueDate]]-Tailordata[[#This Row],[Date]]</f>
        <v>117</v>
      </c>
      <c r="E578" t="s">
        <v>29</v>
      </c>
      <c r="F578" t="s">
        <v>30</v>
      </c>
      <c r="G578">
        <v>260</v>
      </c>
      <c r="H578" t="s">
        <v>26</v>
      </c>
      <c r="O578">
        <v>19</v>
      </c>
      <c r="Q578">
        <v>16</v>
      </c>
      <c r="R578">
        <v>15</v>
      </c>
      <c r="S578">
        <v>22</v>
      </c>
      <c r="T578">
        <v>24</v>
      </c>
      <c r="U578">
        <v>16</v>
      </c>
    </row>
    <row r="579" spans="1:23">
      <c r="A579">
        <v>578</v>
      </c>
      <c r="B579" s="1">
        <v>45371</v>
      </c>
      <c r="C579" s="1">
        <v>45433</v>
      </c>
      <c r="D579" s="29">
        <f>Tailordata[[#This Row],[DueDate]]-Tailordata[[#This Row],[Date]]</f>
        <v>62</v>
      </c>
      <c r="E579" t="s">
        <v>27</v>
      </c>
      <c r="F579" t="s">
        <v>23</v>
      </c>
      <c r="G579">
        <v>247</v>
      </c>
      <c r="H579" t="s">
        <v>31</v>
      </c>
      <c r="I579">
        <v>21</v>
      </c>
      <c r="J579">
        <v>29</v>
      </c>
      <c r="K579">
        <v>24</v>
      </c>
      <c r="L579">
        <v>23</v>
      </c>
      <c r="N579">
        <v>33</v>
      </c>
      <c r="O579">
        <v>24</v>
      </c>
      <c r="P579">
        <v>21</v>
      </c>
    </row>
    <row r="580" spans="1:23">
      <c r="A580">
        <v>579</v>
      </c>
      <c r="B580" s="1">
        <v>45370</v>
      </c>
      <c r="C580" s="1">
        <v>45416</v>
      </c>
      <c r="D580" s="29">
        <f>Tailordata[[#This Row],[DueDate]]-Tailordata[[#This Row],[Date]]</f>
        <v>46</v>
      </c>
      <c r="E580" t="s">
        <v>27</v>
      </c>
      <c r="F580" t="s">
        <v>25</v>
      </c>
      <c r="G580">
        <v>497</v>
      </c>
      <c r="H580" t="s">
        <v>26</v>
      </c>
      <c r="I580">
        <v>14</v>
      </c>
      <c r="J580">
        <v>25</v>
      </c>
      <c r="K580">
        <v>14</v>
      </c>
      <c r="L580">
        <v>24</v>
      </c>
      <c r="N580">
        <v>37</v>
      </c>
      <c r="O580">
        <v>21</v>
      </c>
      <c r="P580">
        <v>18</v>
      </c>
    </row>
    <row r="581" spans="1:23">
      <c r="A581">
        <v>580</v>
      </c>
      <c r="B581" s="1">
        <v>45368</v>
      </c>
      <c r="C581" s="1">
        <v>45435</v>
      </c>
      <c r="D581" s="29">
        <f>Tailordata[[#This Row],[DueDate]]-Tailordata[[#This Row],[Date]]</f>
        <v>67</v>
      </c>
      <c r="E581" t="s">
        <v>22</v>
      </c>
      <c r="F581" t="s">
        <v>32</v>
      </c>
      <c r="G581">
        <v>54</v>
      </c>
      <c r="H581" t="s">
        <v>31</v>
      </c>
      <c r="I581">
        <v>24</v>
      </c>
      <c r="J581">
        <v>50</v>
      </c>
      <c r="K581">
        <v>14</v>
      </c>
      <c r="L581">
        <v>23</v>
      </c>
      <c r="M581">
        <v>15</v>
      </c>
    </row>
    <row r="582" spans="1:23">
      <c r="A582">
        <v>581</v>
      </c>
      <c r="B582" s="1">
        <v>45305</v>
      </c>
      <c r="C582" s="1">
        <v>45430</v>
      </c>
      <c r="D582" s="29">
        <f>Tailordata[[#This Row],[DueDate]]-Tailordata[[#This Row],[Date]]</f>
        <v>125</v>
      </c>
      <c r="E582" t="s">
        <v>35</v>
      </c>
      <c r="F582" t="s">
        <v>32</v>
      </c>
      <c r="G582">
        <v>78</v>
      </c>
      <c r="H582" t="s">
        <v>28</v>
      </c>
      <c r="O582">
        <v>19</v>
      </c>
      <c r="P582">
        <v>16</v>
      </c>
      <c r="Q582">
        <v>16</v>
      </c>
      <c r="R582">
        <v>14</v>
      </c>
      <c r="U582">
        <v>18</v>
      </c>
      <c r="V582">
        <v>15</v>
      </c>
      <c r="W582">
        <v>15</v>
      </c>
    </row>
    <row r="583" spans="1:23">
      <c r="A583">
        <v>582</v>
      </c>
      <c r="B583" s="1">
        <v>45343</v>
      </c>
      <c r="C583" s="1">
        <v>45420</v>
      </c>
      <c r="D583" s="29">
        <f>Tailordata[[#This Row],[DueDate]]-Tailordata[[#This Row],[Date]]</f>
        <v>77</v>
      </c>
      <c r="E583" t="s">
        <v>29</v>
      </c>
      <c r="F583" t="s">
        <v>23</v>
      </c>
      <c r="G583">
        <v>167</v>
      </c>
      <c r="H583" t="s">
        <v>24</v>
      </c>
      <c r="O583">
        <v>18</v>
      </c>
      <c r="Q583">
        <v>22</v>
      </c>
      <c r="R583">
        <v>23</v>
      </c>
      <c r="S583">
        <v>19</v>
      </c>
      <c r="T583">
        <v>24</v>
      </c>
      <c r="U583">
        <v>16</v>
      </c>
    </row>
    <row r="584" spans="1:23">
      <c r="A584">
        <v>583</v>
      </c>
      <c r="B584" s="1">
        <v>45315</v>
      </c>
      <c r="C584" s="1">
        <v>45434</v>
      </c>
      <c r="D584" s="29">
        <f>Tailordata[[#This Row],[DueDate]]-Tailordata[[#This Row],[Date]]</f>
        <v>119</v>
      </c>
      <c r="E584" t="s">
        <v>33</v>
      </c>
      <c r="F584" t="s">
        <v>23</v>
      </c>
      <c r="G584">
        <v>122</v>
      </c>
      <c r="H584" t="s">
        <v>24</v>
      </c>
      <c r="I584">
        <v>18</v>
      </c>
      <c r="J584">
        <v>32</v>
      </c>
      <c r="K584">
        <v>20</v>
      </c>
      <c r="L584">
        <v>14</v>
      </c>
      <c r="M584">
        <v>15</v>
      </c>
      <c r="N584">
        <v>50</v>
      </c>
      <c r="O584">
        <v>17</v>
      </c>
      <c r="Q584">
        <v>24</v>
      </c>
      <c r="R584">
        <v>20</v>
      </c>
    </row>
    <row r="585" spans="1:23">
      <c r="A585">
        <v>584</v>
      </c>
      <c r="B585" s="1">
        <v>45328</v>
      </c>
      <c r="C585" s="1">
        <v>45414</v>
      </c>
      <c r="D585" s="29">
        <f>Tailordata[[#This Row],[DueDate]]-Tailordata[[#This Row],[Date]]</f>
        <v>86</v>
      </c>
      <c r="E585" t="s">
        <v>33</v>
      </c>
      <c r="F585" t="s">
        <v>36</v>
      </c>
      <c r="G585">
        <v>351</v>
      </c>
      <c r="H585" t="s">
        <v>26</v>
      </c>
      <c r="I585">
        <v>15</v>
      </c>
      <c r="J585">
        <v>24</v>
      </c>
      <c r="K585">
        <v>20</v>
      </c>
      <c r="L585">
        <v>14</v>
      </c>
      <c r="M585">
        <v>16</v>
      </c>
      <c r="N585">
        <v>47</v>
      </c>
      <c r="O585">
        <v>23</v>
      </c>
      <c r="Q585">
        <v>19</v>
      </c>
      <c r="R585">
        <v>14</v>
      </c>
    </row>
    <row r="586" spans="1:23">
      <c r="A586">
        <v>585</v>
      </c>
      <c r="B586" s="1">
        <v>45325</v>
      </c>
      <c r="C586" s="1">
        <v>45436</v>
      </c>
      <c r="D586" s="29">
        <f>Tailordata[[#This Row],[DueDate]]-Tailordata[[#This Row],[Date]]</f>
        <v>111</v>
      </c>
      <c r="E586" t="s">
        <v>27</v>
      </c>
      <c r="F586" t="s">
        <v>25</v>
      </c>
      <c r="G586">
        <v>83</v>
      </c>
      <c r="H586" t="s">
        <v>34</v>
      </c>
      <c r="I586">
        <v>22</v>
      </c>
      <c r="J586">
        <v>31</v>
      </c>
      <c r="K586">
        <v>14</v>
      </c>
      <c r="L586">
        <v>15</v>
      </c>
      <c r="N586">
        <v>38</v>
      </c>
      <c r="O586">
        <v>17</v>
      </c>
      <c r="P586">
        <v>19</v>
      </c>
    </row>
    <row r="587" spans="1:23">
      <c r="A587">
        <v>586</v>
      </c>
      <c r="B587" s="1">
        <v>45410</v>
      </c>
      <c r="C587" s="1">
        <v>45419</v>
      </c>
      <c r="D587" s="29">
        <f>Tailordata[[#This Row],[DueDate]]-Tailordata[[#This Row],[Date]]</f>
        <v>9</v>
      </c>
      <c r="E587" t="s">
        <v>35</v>
      </c>
      <c r="F587" t="s">
        <v>25</v>
      </c>
      <c r="G587">
        <v>118</v>
      </c>
      <c r="H587" t="s">
        <v>26</v>
      </c>
      <c r="O587">
        <v>22</v>
      </c>
      <c r="P587">
        <v>24</v>
      </c>
      <c r="Q587">
        <v>20</v>
      </c>
      <c r="R587">
        <v>15</v>
      </c>
      <c r="U587">
        <v>17</v>
      </c>
      <c r="V587">
        <v>24</v>
      </c>
      <c r="W587">
        <v>16</v>
      </c>
    </row>
    <row r="588" spans="1:23">
      <c r="A588">
        <v>587</v>
      </c>
      <c r="B588" s="1">
        <v>45309</v>
      </c>
      <c r="C588" s="1">
        <v>45434</v>
      </c>
      <c r="D588" s="29">
        <f>Tailordata[[#This Row],[DueDate]]-Tailordata[[#This Row],[Date]]</f>
        <v>125</v>
      </c>
      <c r="E588" t="s">
        <v>22</v>
      </c>
      <c r="F588" t="s">
        <v>23</v>
      </c>
      <c r="G588">
        <v>109</v>
      </c>
      <c r="H588" t="s">
        <v>28</v>
      </c>
      <c r="I588">
        <v>14</v>
      </c>
      <c r="J588">
        <v>30</v>
      </c>
      <c r="K588">
        <v>20</v>
      </c>
      <c r="L588">
        <v>20</v>
      </c>
      <c r="M588">
        <v>24</v>
      </c>
    </row>
    <row r="589" spans="1:23">
      <c r="A589">
        <v>588</v>
      </c>
      <c r="B589" s="1">
        <v>45310</v>
      </c>
      <c r="C589" s="1">
        <v>45429</v>
      </c>
      <c r="D589" s="29">
        <f>Tailordata[[#This Row],[DueDate]]-Tailordata[[#This Row],[Date]]</f>
        <v>119</v>
      </c>
      <c r="E589" t="s">
        <v>27</v>
      </c>
      <c r="F589" t="s">
        <v>30</v>
      </c>
      <c r="G589">
        <v>365</v>
      </c>
      <c r="H589" t="s">
        <v>28</v>
      </c>
      <c r="I589">
        <v>20</v>
      </c>
      <c r="J589">
        <v>36</v>
      </c>
      <c r="K589">
        <v>20</v>
      </c>
      <c r="L589">
        <v>17</v>
      </c>
      <c r="N589">
        <v>25</v>
      </c>
      <c r="O589">
        <v>16</v>
      </c>
      <c r="P589">
        <v>16</v>
      </c>
    </row>
    <row r="590" spans="1:23">
      <c r="A590">
        <v>589</v>
      </c>
      <c r="B590" s="1">
        <v>45307</v>
      </c>
      <c r="C590" s="1">
        <v>45429</v>
      </c>
      <c r="D590" s="29">
        <f>Tailordata[[#This Row],[DueDate]]-Tailordata[[#This Row],[Date]]</f>
        <v>122</v>
      </c>
      <c r="E590" t="s">
        <v>35</v>
      </c>
      <c r="F590" t="s">
        <v>25</v>
      </c>
      <c r="G590">
        <v>296</v>
      </c>
      <c r="H590" t="s">
        <v>34</v>
      </c>
      <c r="O590">
        <v>19</v>
      </c>
      <c r="P590">
        <v>15</v>
      </c>
      <c r="Q590">
        <v>24</v>
      </c>
      <c r="R590">
        <v>15</v>
      </c>
      <c r="U590">
        <v>19</v>
      </c>
      <c r="V590">
        <v>18</v>
      </c>
      <c r="W590">
        <v>15</v>
      </c>
    </row>
    <row r="591" spans="1:23">
      <c r="A591">
        <v>590</v>
      </c>
      <c r="B591" s="1">
        <v>45349</v>
      </c>
      <c r="C591" s="1">
        <v>45424</v>
      </c>
      <c r="D591" s="29">
        <f>Tailordata[[#This Row],[DueDate]]-Tailordata[[#This Row],[Date]]</f>
        <v>75</v>
      </c>
      <c r="E591" t="s">
        <v>27</v>
      </c>
      <c r="F591" t="s">
        <v>25</v>
      </c>
      <c r="G591">
        <v>55</v>
      </c>
      <c r="H591" t="s">
        <v>28</v>
      </c>
      <c r="I591">
        <v>21</v>
      </c>
      <c r="J591">
        <v>47</v>
      </c>
      <c r="K591">
        <v>24</v>
      </c>
      <c r="L591">
        <v>20</v>
      </c>
      <c r="N591">
        <v>44</v>
      </c>
      <c r="O591">
        <v>24</v>
      </c>
      <c r="P591">
        <v>14</v>
      </c>
    </row>
    <row r="592" spans="1:23">
      <c r="A592">
        <v>591</v>
      </c>
      <c r="B592" s="1">
        <v>45312</v>
      </c>
      <c r="C592" s="1">
        <v>45415</v>
      </c>
      <c r="D592" s="29">
        <f>Tailordata[[#This Row],[DueDate]]-Tailordata[[#This Row],[Date]]</f>
        <v>103</v>
      </c>
      <c r="E592" t="s">
        <v>27</v>
      </c>
      <c r="F592" t="s">
        <v>23</v>
      </c>
      <c r="G592">
        <v>475</v>
      </c>
      <c r="H592" t="s">
        <v>28</v>
      </c>
      <c r="I592">
        <v>20</v>
      </c>
      <c r="J592">
        <v>20</v>
      </c>
      <c r="K592">
        <v>14</v>
      </c>
      <c r="L592">
        <v>24</v>
      </c>
      <c r="N592">
        <v>21</v>
      </c>
      <c r="O592">
        <v>18</v>
      </c>
      <c r="P592">
        <v>17</v>
      </c>
    </row>
    <row r="593" spans="1:23">
      <c r="A593">
        <v>592</v>
      </c>
      <c r="B593" s="1">
        <v>45391</v>
      </c>
      <c r="C593" s="1">
        <v>45427</v>
      </c>
      <c r="D593" s="29">
        <f>Tailordata[[#This Row],[DueDate]]-Tailordata[[#This Row],[Date]]</f>
        <v>36</v>
      </c>
      <c r="E593" t="s">
        <v>35</v>
      </c>
      <c r="F593" t="s">
        <v>32</v>
      </c>
      <c r="G593">
        <v>277</v>
      </c>
      <c r="H593" t="s">
        <v>34</v>
      </c>
      <c r="O593">
        <v>24</v>
      </c>
      <c r="P593">
        <v>17</v>
      </c>
      <c r="Q593">
        <v>15</v>
      </c>
      <c r="R593">
        <v>15</v>
      </c>
      <c r="U593">
        <v>15</v>
      </c>
      <c r="V593">
        <v>21</v>
      </c>
      <c r="W593">
        <v>21</v>
      </c>
    </row>
    <row r="594" spans="1:23">
      <c r="A594">
        <v>593</v>
      </c>
      <c r="B594" s="1">
        <v>45322</v>
      </c>
      <c r="C594" s="1">
        <v>45416</v>
      </c>
      <c r="D594" s="29">
        <f>Tailordata[[#This Row],[DueDate]]-Tailordata[[#This Row],[Date]]</f>
        <v>94</v>
      </c>
      <c r="E594" t="s">
        <v>27</v>
      </c>
      <c r="F594" t="s">
        <v>23</v>
      </c>
      <c r="G594">
        <v>358</v>
      </c>
      <c r="H594" t="s">
        <v>26</v>
      </c>
      <c r="I594">
        <v>15</v>
      </c>
      <c r="J594">
        <v>24</v>
      </c>
      <c r="K594">
        <v>19</v>
      </c>
      <c r="L594">
        <v>23</v>
      </c>
      <c r="N594">
        <v>30</v>
      </c>
      <c r="O594">
        <v>14</v>
      </c>
      <c r="P594">
        <v>14</v>
      </c>
    </row>
    <row r="595" spans="1:23">
      <c r="A595">
        <v>594</v>
      </c>
      <c r="B595" s="1">
        <v>45308</v>
      </c>
      <c r="C595" s="1">
        <v>45418</v>
      </c>
      <c r="D595" s="29">
        <f>Tailordata[[#This Row],[DueDate]]-Tailordata[[#This Row],[Date]]</f>
        <v>110</v>
      </c>
      <c r="E595" t="s">
        <v>22</v>
      </c>
      <c r="F595" t="s">
        <v>23</v>
      </c>
      <c r="G595">
        <v>164</v>
      </c>
      <c r="H595" t="s">
        <v>31</v>
      </c>
      <c r="I595">
        <v>20</v>
      </c>
      <c r="J595">
        <v>50</v>
      </c>
      <c r="K595">
        <v>16</v>
      </c>
      <c r="L595">
        <v>22</v>
      </c>
      <c r="M595">
        <v>16</v>
      </c>
    </row>
    <row r="596" spans="1:23">
      <c r="A596">
        <v>595</v>
      </c>
      <c r="B596" s="1">
        <v>45380</v>
      </c>
      <c r="C596" s="1">
        <v>45426</v>
      </c>
      <c r="D596" s="29">
        <f>Tailordata[[#This Row],[DueDate]]-Tailordata[[#This Row],[Date]]</f>
        <v>46</v>
      </c>
      <c r="E596" t="s">
        <v>33</v>
      </c>
      <c r="F596" t="s">
        <v>25</v>
      </c>
      <c r="G596">
        <v>53</v>
      </c>
      <c r="H596" t="s">
        <v>26</v>
      </c>
      <c r="I596">
        <v>17</v>
      </c>
      <c r="J596">
        <v>22</v>
      </c>
      <c r="K596">
        <v>23</v>
      </c>
      <c r="L596">
        <v>16</v>
      </c>
      <c r="M596">
        <v>20</v>
      </c>
      <c r="N596">
        <v>35</v>
      </c>
      <c r="O596">
        <v>22</v>
      </c>
      <c r="Q596">
        <v>17</v>
      </c>
      <c r="R596">
        <v>18</v>
      </c>
    </row>
    <row r="597" spans="1:23">
      <c r="A597">
        <v>596</v>
      </c>
      <c r="B597" s="1">
        <v>45392</v>
      </c>
      <c r="C597" s="1">
        <v>45413</v>
      </c>
      <c r="D597" s="29">
        <f>Tailordata[[#This Row],[DueDate]]-Tailordata[[#This Row],[Date]]</f>
        <v>21</v>
      </c>
      <c r="E597" t="s">
        <v>27</v>
      </c>
      <c r="F597" t="s">
        <v>25</v>
      </c>
      <c r="G597">
        <v>217</v>
      </c>
      <c r="H597" t="s">
        <v>34</v>
      </c>
      <c r="I597">
        <v>16</v>
      </c>
      <c r="J597">
        <v>30</v>
      </c>
      <c r="K597">
        <v>19</v>
      </c>
      <c r="L597">
        <v>17</v>
      </c>
      <c r="N597">
        <v>31</v>
      </c>
      <c r="O597">
        <v>19</v>
      </c>
      <c r="P597">
        <v>20</v>
      </c>
    </row>
    <row r="598" spans="1:23">
      <c r="A598">
        <v>597</v>
      </c>
      <c r="B598" s="1">
        <v>45369</v>
      </c>
      <c r="C598" s="1">
        <v>45426</v>
      </c>
      <c r="D598" s="29">
        <f>Tailordata[[#This Row],[DueDate]]-Tailordata[[#This Row],[Date]]</f>
        <v>57</v>
      </c>
      <c r="E598" t="s">
        <v>33</v>
      </c>
      <c r="F598" t="s">
        <v>32</v>
      </c>
      <c r="G598">
        <v>311</v>
      </c>
      <c r="H598" t="s">
        <v>24</v>
      </c>
      <c r="I598">
        <v>23</v>
      </c>
      <c r="J598">
        <v>32</v>
      </c>
      <c r="K598">
        <v>17</v>
      </c>
      <c r="L598">
        <v>19</v>
      </c>
      <c r="M598">
        <v>21</v>
      </c>
      <c r="N598">
        <v>31</v>
      </c>
      <c r="O598">
        <v>16</v>
      </c>
      <c r="Q598">
        <v>16</v>
      </c>
      <c r="R598">
        <v>18</v>
      </c>
    </row>
    <row r="599" spans="1:23">
      <c r="A599">
        <v>598</v>
      </c>
      <c r="B599" s="1">
        <v>45299</v>
      </c>
      <c r="C599" s="1">
        <v>45412</v>
      </c>
      <c r="D599" s="29">
        <f>Tailordata[[#This Row],[DueDate]]-Tailordata[[#This Row],[Date]]</f>
        <v>113</v>
      </c>
      <c r="E599" t="s">
        <v>33</v>
      </c>
      <c r="F599" t="s">
        <v>25</v>
      </c>
      <c r="G599">
        <v>221</v>
      </c>
      <c r="H599" t="s">
        <v>26</v>
      </c>
      <c r="I599">
        <v>14</v>
      </c>
      <c r="J599">
        <v>32</v>
      </c>
      <c r="K599">
        <v>23</v>
      </c>
      <c r="L599">
        <v>14</v>
      </c>
      <c r="M599">
        <v>17</v>
      </c>
      <c r="N599">
        <v>46</v>
      </c>
      <c r="O599">
        <v>18</v>
      </c>
      <c r="Q599">
        <v>22</v>
      </c>
      <c r="R599">
        <v>19</v>
      </c>
    </row>
    <row r="600" spans="1:23">
      <c r="A600">
        <v>599</v>
      </c>
      <c r="B600" s="1">
        <v>45391</v>
      </c>
      <c r="C600" s="1">
        <v>45436</v>
      </c>
      <c r="D600" s="29">
        <f>Tailordata[[#This Row],[DueDate]]-Tailordata[[#This Row],[Date]]</f>
        <v>45</v>
      </c>
      <c r="E600" t="s">
        <v>29</v>
      </c>
      <c r="F600" t="s">
        <v>32</v>
      </c>
      <c r="G600">
        <v>187</v>
      </c>
      <c r="H600" t="s">
        <v>26</v>
      </c>
      <c r="O600">
        <v>24</v>
      </c>
      <c r="Q600">
        <v>14</v>
      </c>
      <c r="R600">
        <v>22</v>
      </c>
      <c r="S600">
        <v>22</v>
      </c>
      <c r="T600">
        <v>19</v>
      </c>
      <c r="U600">
        <v>24</v>
      </c>
    </row>
    <row r="601" spans="1:23">
      <c r="A601">
        <v>600</v>
      </c>
      <c r="B601" s="1">
        <v>45314</v>
      </c>
      <c r="C601" s="1">
        <v>45422</v>
      </c>
      <c r="D601" s="29">
        <f>Tailordata[[#This Row],[DueDate]]-Tailordata[[#This Row],[Date]]</f>
        <v>108</v>
      </c>
      <c r="E601" t="s">
        <v>35</v>
      </c>
      <c r="F601" t="s">
        <v>23</v>
      </c>
      <c r="G601">
        <v>100</v>
      </c>
      <c r="H601" t="s">
        <v>24</v>
      </c>
      <c r="O601">
        <v>14</v>
      </c>
      <c r="P601">
        <v>21</v>
      </c>
      <c r="Q601">
        <v>21</v>
      </c>
      <c r="R601">
        <v>15</v>
      </c>
      <c r="U601">
        <v>19</v>
      </c>
      <c r="V601">
        <v>18</v>
      </c>
      <c r="W601">
        <v>16</v>
      </c>
    </row>
    <row r="602" spans="1:23">
      <c r="A602">
        <v>601</v>
      </c>
      <c r="B602" s="1">
        <v>45341</v>
      </c>
      <c r="C602" s="1">
        <v>45437</v>
      </c>
      <c r="D602" s="29">
        <f>Tailordata[[#This Row],[DueDate]]-Tailordata[[#This Row],[Date]]</f>
        <v>96</v>
      </c>
      <c r="E602" t="s">
        <v>35</v>
      </c>
      <c r="F602" t="s">
        <v>36</v>
      </c>
      <c r="G602">
        <v>190</v>
      </c>
      <c r="H602" t="s">
        <v>34</v>
      </c>
      <c r="O602">
        <v>16</v>
      </c>
      <c r="P602">
        <v>17</v>
      </c>
      <c r="Q602">
        <v>19</v>
      </c>
      <c r="R602">
        <v>15</v>
      </c>
      <c r="U602">
        <v>21</v>
      </c>
      <c r="V602">
        <v>18</v>
      </c>
      <c r="W602">
        <v>15</v>
      </c>
    </row>
    <row r="603" spans="1:23">
      <c r="A603">
        <v>602</v>
      </c>
      <c r="B603" s="1">
        <v>45349</v>
      </c>
      <c r="C603" s="1">
        <v>45420</v>
      </c>
      <c r="D603" s="29">
        <f>Tailordata[[#This Row],[DueDate]]-Tailordata[[#This Row],[Date]]</f>
        <v>71</v>
      </c>
      <c r="E603" t="s">
        <v>29</v>
      </c>
      <c r="F603" t="s">
        <v>23</v>
      </c>
      <c r="G603">
        <v>220</v>
      </c>
      <c r="H603" t="s">
        <v>24</v>
      </c>
      <c r="O603">
        <v>22</v>
      </c>
      <c r="Q603">
        <v>18</v>
      </c>
      <c r="R603">
        <v>19</v>
      </c>
      <c r="S603">
        <v>23</v>
      </c>
      <c r="T603">
        <v>17</v>
      </c>
      <c r="U603">
        <v>21</v>
      </c>
    </row>
    <row r="604" spans="1:23">
      <c r="A604">
        <v>603</v>
      </c>
      <c r="B604" s="1">
        <v>45305</v>
      </c>
      <c r="C604" s="1">
        <v>45435</v>
      </c>
      <c r="D604" s="29">
        <f>Tailordata[[#This Row],[DueDate]]-Tailordata[[#This Row],[Date]]</f>
        <v>130</v>
      </c>
      <c r="E604" t="s">
        <v>29</v>
      </c>
      <c r="F604" t="s">
        <v>25</v>
      </c>
      <c r="G604">
        <v>240</v>
      </c>
      <c r="H604" t="s">
        <v>26</v>
      </c>
      <c r="O604">
        <v>14</v>
      </c>
      <c r="Q604">
        <v>23</v>
      </c>
      <c r="R604">
        <v>15</v>
      </c>
      <c r="S604">
        <v>23</v>
      </c>
      <c r="T604">
        <v>15</v>
      </c>
      <c r="U604">
        <v>17</v>
      </c>
    </row>
    <row r="605" spans="1:23">
      <c r="A605">
        <v>604</v>
      </c>
      <c r="B605" s="1">
        <v>45375</v>
      </c>
      <c r="C605" s="1">
        <v>45419</v>
      </c>
      <c r="D605" s="29">
        <f>Tailordata[[#This Row],[DueDate]]-Tailordata[[#This Row],[Date]]</f>
        <v>44</v>
      </c>
      <c r="E605" t="s">
        <v>35</v>
      </c>
      <c r="F605" t="s">
        <v>30</v>
      </c>
      <c r="G605">
        <v>411</v>
      </c>
      <c r="H605" t="s">
        <v>31</v>
      </c>
      <c r="O605">
        <v>21</v>
      </c>
      <c r="P605">
        <v>20</v>
      </c>
      <c r="Q605">
        <v>21</v>
      </c>
      <c r="R605">
        <v>18</v>
      </c>
      <c r="U605">
        <v>16</v>
      </c>
      <c r="V605">
        <v>20</v>
      </c>
      <c r="W605">
        <v>15</v>
      </c>
    </row>
    <row r="606" spans="1:23">
      <c r="A606">
        <v>605</v>
      </c>
      <c r="B606" s="1">
        <v>45316</v>
      </c>
      <c r="C606" s="1">
        <v>45424</v>
      </c>
      <c r="D606" s="29">
        <f>Tailordata[[#This Row],[DueDate]]-Tailordata[[#This Row],[Date]]</f>
        <v>108</v>
      </c>
      <c r="E606" t="s">
        <v>22</v>
      </c>
      <c r="F606" t="s">
        <v>36</v>
      </c>
      <c r="G606">
        <v>325</v>
      </c>
      <c r="H606" t="s">
        <v>28</v>
      </c>
      <c r="I606">
        <v>20</v>
      </c>
      <c r="J606">
        <v>38</v>
      </c>
      <c r="K606">
        <v>22</v>
      </c>
      <c r="L606">
        <v>22</v>
      </c>
      <c r="M606">
        <v>21</v>
      </c>
    </row>
    <row r="607" spans="1:23">
      <c r="A607">
        <v>606</v>
      </c>
      <c r="B607" s="1">
        <v>45294</v>
      </c>
      <c r="C607" s="1">
        <v>45426</v>
      </c>
      <c r="D607" s="29">
        <f>Tailordata[[#This Row],[DueDate]]-Tailordata[[#This Row],[Date]]</f>
        <v>132</v>
      </c>
      <c r="E607" t="s">
        <v>27</v>
      </c>
      <c r="F607" t="s">
        <v>36</v>
      </c>
      <c r="G607">
        <v>61</v>
      </c>
      <c r="H607" t="s">
        <v>34</v>
      </c>
      <c r="I607">
        <v>20</v>
      </c>
      <c r="J607">
        <v>26</v>
      </c>
      <c r="K607">
        <v>16</v>
      </c>
      <c r="L607">
        <v>24</v>
      </c>
      <c r="N607">
        <v>39</v>
      </c>
      <c r="O607">
        <v>18</v>
      </c>
      <c r="P607">
        <v>22</v>
      </c>
    </row>
    <row r="608" spans="1:23">
      <c r="A608">
        <v>607</v>
      </c>
      <c r="B608" s="1">
        <v>45388</v>
      </c>
      <c r="C608" s="1">
        <v>45440</v>
      </c>
      <c r="D608" s="29">
        <f>Tailordata[[#This Row],[DueDate]]-Tailordata[[#This Row],[Date]]</f>
        <v>52</v>
      </c>
      <c r="E608" t="s">
        <v>27</v>
      </c>
      <c r="F608" t="s">
        <v>25</v>
      </c>
      <c r="G608">
        <v>422</v>
      </c>
      <c r="H608" t="s">
        <v>24</v>
      </c>
      <c r="I608">
        <v>17</v>
      </c>
      <c r="J608">
        <v>38</v>
      </c>
      <c r="K608">
        <v>17</v>
      </c>
      <c r="L608">
        <v>18</v>
      </c>
      <c r="N608">
        <v>40</v>
      </c>
      <c r="O608">
        <v>16</v>
      </c>
      <c r="P608">
        <v>17</v>
      </c>
    </row>
    <row r="609" spans="1:23">
      <c r="A609">
        <v>608</v>
      </c>
      <c r="B609" s="1">
        <v>45407</v>
      </c>
      <c r="C609" s="1">
        <v>45426</v>
      </c>
      <c r="D609" s="29">
        <f>Tailordata[[#This Row],[DueDate]]-Tailordata[[#This Row],[Date]]</f>
        <v>19</v>
      </c>
      <c r="E609" t="s">
        <v>35</v>
      </c>
      <c r="F609" t="s">
        <v>32</v>
      </c>
      <c r="G609">
        <v>163</v>
      </c>
      <c r="H609" t="s">
        <v>34</v>
      </c>
      <c r="O609">
        <v>24</v>
      </c>
      <c r="P609">
        <v>18</v>
      </c>
      <c r="Q609">
        <v>21</v>
      </c>
      <c r="R609">
        <v>22</v>
      </c>
      <c r="U609">
        <v>14</v>
      </c>
      <c r="V609">
        <v>23</v>
      </c>
      <c r="W609">
        <v>14</v>
      </c>
    </row>
    <row r="610" spans="1:23">
      <c r="A610">
        <v>609</v>
      </c>
      <c r="B610" s="1">
        <v>45366</v>
      </c>
      <c r="C610" s="1">
        <v>45428</v>
      </c>
      <c r="D610" s="29">
        <f>Tailordata[[#This Row],[DueDate]]-Tailordata[[#This Row],[Date]]</f>
        <v>62</v>
      </c>
      <c r="E610" t="s">
        <v>29</v>
      </c>
      <c r="F610" t="s">
        <v>30</v>
      </c>
      <c r="G610">
        <v>146</v>
      </c>
      <c r="H610" t="s">
        <v>24</v>
      </c>
      <c r="O610">
        <v>19</v>
      </c>
      <c r="Q610">
        <v>22</v>
      </c>
      <c r="R610">
        <v>17</v>
      </c>
      <c r="S610">
        <v>22</v>
      </c>
      <c r="T610">
        <v>14</v>
      </c>
      <c r="U610">
        <v>23</v>
      </c>
    </row>
    <row r="611" spans="1:23">
      <c r="A611">
        <v>610</v>
      </c>
      <c r="B611" s="1">
        <v>45324</v>
      </c>
      <c r="C611" s="1">
        <v>45413</v>
      </c>
      <c r="D611" s="29">
        <f>Tailordata[[#This Row],[DueDate]]-Tailordata[[#This Row],[Date]]</f>
        <v>89</v>
      </c>
      <c r="E611" t="s">
        <v>27</v>
      </c>
      <c r="F611" t="s">
        <v>32</v>
      </c>
      <c r="G611">
        <v>423</v>
      </c>
      <c r="H611" t="s">
        <v>28</v>
      </c>
      <c r="I611">
        <v>16</v>
      </c>
      <c r="J611">
        <v>31</v>
      </c>
      <c r="K611">
        <v>16</v>
      </c>
      <c r="L611">
        <v>14</v>
      </c>
      <c r="N611">
        <v>26</v>
      </c>
      <c r="O611">
        <v>19</v>
      </c>
      <c r="P611">
        <v>23</v>
      </c>
    </row>
    <row r="612" spans="1:23">
      <c r="A612">
        <v>611</v>
      </c>
      <c r="B612" s="1">
        <v>45320</v>
      </c>
      <c r="C612" s="1">
        <v>45439</v>
      </c>
      <c r="D612" s="29">
        <f>Tailordata[[#This Row],[DueDate]]-Tailordata[[#This Row],[Date]]</f>
        <v>119</v>
      </c>
      <c r="E612" t="s">
        <v>22</v>
      </c>
      <c r="F612" t="s">
        <v>30</v>
      </c>
      <c r="G612">
        <v>229</v>
      </c>
      <c r="H612" t="s">
        <v>26</v>
      </c>
      <c r="I612">
        <v>22</v>
      </c>
      <c r="J612">
        <v>49</v>
      </c>
      <c r="K612">
        <v>23</v>
      </c>
      <c r="L612">
        <v>19</v>
      </c>
      <c r="M612">
        <v>21</v>
      </c>
    </row>
    <row r="613" spans="1:23">
      <c r="A613">
        <v>612</v>
      </c>
      <c r="B613" s="1">
        <v>45332</v>
      </c>
      <c r="C613" s="1">
        <v>45415</v>
      </c>
      <c r="D613" s="29">
        <f>Tailordata[[#This Row],[DueDate]]-Tailordata[[#This Row],[Date]]</f>
        <v>83</v>
      </c>
      <c r="E613" t="s">
        <v>27</v>
      </c>
      <c r="F613" t="s">
        <v>30</v>
      </c>
      <c r="G613">
        <v>219</v>
      </c>
      <c r="H613" t="s">
        <v>28</v>
      </c>
      <c r="I613">
        <v>20</v>
      </c>
      <c r="J613">
        <v>45</v>
      </c>
      <c r="K613">
        <v>23</v>
      </c>
      <c r="L613">
        <v>24</v>
      </c>
      <c r="N613">
        <v>34</v>
      </c>
      <c r="O613">
        <v>22</v>
      </c>
      <c r="P613">
        <v>17</v>
      </c>
    </row>
    <row r="614" spans="1:23">
      <c r="A614">
        <v>613</v>
      </c>
      <c r="B614" s="1">
        <v>45387</v>
      </c>
      <c r="C614" s="1">
        <v>45419</v>
      </c>
      <c r="D614" s="29">
        <f>Tailordata[[#This Row],[DueDate]]-Tailordata[[#This Row],[Date]]</f>
        <v>32</v>
      </c>
      <c r="E614" t="s">
        <v>22</v>
      </c>
      <c r="F614" t="s">
        <v>32</v>
      </c>
      <c r="G614">
        <v>191</v>
      </c>
      <c r="H614" t="s">
        <v>34</v>
      </c>
      <c r="I614">
        <v>24</v>
      </c>
      <c r="J614">
        <v>31</v>
      </c>
      <c r="K614">
        <v>16</v>
      </c>
      <c r="L614">
        <v>16</v>
      </c>
      <c r="M614">
        <v>24</v>
      </c>
    </row>
    <row r="615" spans="1:23">
      <c r="A615">
        <v>614</v>
      </c>
      <c r="B615" s="1">
        <v>45357</v>
      </c>
      <c r="C615" s="1">
        <v>45434</v>
      </c>
      <c r="D615" s="29">
        <f>Tailordata[[#This Row],[DueDate]]-Tailordata[[#This Row],[Date]]</f>
        <v>77</v>
      </c>
      <c r="E615" t="s">
        <v>33</v>
      </c>
      <c r="F615" t="s">
        <v>36</v>
      </c>
      <c r="G615">
        <v>307</v>
      </c>
      <c r="H615" t="s">
        <v>34</v>
      </c>
      <c r="I615">
        <v>22</v>
      </c>
      <c r="J615">
        <v>31</v>
      </c>
      <c r="K615">
        <v>20</v>
      </c>
      <c r="L615">
        <v>15</v>
      </c>
      <c r="M615">
        <v>24</v>
      </c>
      <c r="N615">
        <v>26</v>
      </c>
      <c r="O615">
        <v>15</v>
      </c>
      <c r="Q615">
        <v>16</v>
      </c>
      <c r="R615">
        <v>22</v>
      </c>
    </row>
    <row r="616" spans="1:23">
      <c r="A616">
        <v>615</v>
      </c>
      <c r="B616" s="1">
        <v>45306</v>
      </c>
      <c r="C616" s="1">
        <v>45436</v>
      </c>
      <c r="D616" s="29">
        <f>Tailordata[[#This Row],[DueDate]]-Tailordata[[#This Row],[Date]]</f>
        <v>130</v>
      </c>
      <c r="E616" t="s">
        <v>22</v>
      </c>
      <c r="F616" t="s">
        <v>32</v>
      </c>
      <c r="G616">
        <v>378</v>
      </c>
      <c r="H616" t="s">
        <v>24</v>
      </c>
      <c r="I616">
        <v>16</v>
      </c>
      <c r="J616">
        <v>36</v>
      </c>
      <c r="K616">
        <v>21</v>
      </c>
      <c r="L616">
        <v>20</v>
      </c>
      <c r="M616">
        <v>18</v>
      </c>
    </row>
    <row r="617" spans="1:23">
      <c r="A617">
        <v>616</v>
      </c>
      <c r="B617" s="1">
        <v>45323</v>
      </c>
      <c r="C617" s="1">
        <v>45436</v>
      </c>
      <c r="D617" s="29">
        <f>Tailordata[[#This Row],[DueDate]]-Tailordata[[#This Row],[Date]]</f>
        <v>113</v>
      </c>
      <c r="E617" t="s">
        <v>33</v>
      </c>
      <c r="F617" t="s">
        <v>30</v>
      </c>
      <c r="G617">
        <v>159</v>
      </c>
      <c r="H617" t="s">
        <v>28</v>
      </c>
      <c r="I617">
        <v>22</v>
      </c>
      <c r="J617">
        <v>42</v>
      </c>
      <c r="K617">
        <v>22</v>
      </c>
      <c r="L617">
        <v>20</v>
      </c>
      <c r="M617">
        <v>16</v>
      </c>
      <c r="N617">
        <v>49</v>
      </c>
      <c r="O617">
        <v>24</v>
      </c>
      <c r="Q617">
        <v>15</v>
      </c>
      <c r="R617">
        <v>16</v>
      </c>
    </row>
    <row r="618" spans="1:23">
      <c r="A618">
        <v>617</v>
      </c>
      <c r="B618" s="1">
        <v>45338</v>
      </c>
      <c r="C618" s="1">
        <v>45417</v>
      </c>
      <c r="D618" s="29">
        <f>Tailordata[[#This Row],[DueDate]]-Tailordata[[#This Row],[Date]]</f>
        <v>79</v>
      </c>
      <c r="E618" t="s">
        <v>29</v>
      </c>
      <c r="F618" t="s">
        <v>25</v>
      </c>
      <c r="G618">
        <v>451</v>
      </c>
      <c r="H618" t="s">
        <v>24</v>
      </c>
      <c r="O618">
        <v>15</v>
      </c>
      <c r="Q618">
        <v>14</v>
      </c>
      <c r="R618">
        <v>22</v>
      </c>
      <c r="S618">
        <v>19</v>
      </c>
      <c r="T618">
        <v>16</v>
      </c>
      <c r="U618">
        <v>21</v>
      </c>
    </row>
    <row r="619" spans="1:23">
      <c r="A619">
        <v>618</v>
      </c>
      <c r="B619" s="1">
        <v>45402</v>
      </c>
      <c r="C619" s="1">
        <v>45440</v>
      </c>
      <c r="D619" s="29">
        <f>Tailordata[[#This Row],[DueDate]]-Tailordata[[#This Row],[Date]]</f>
        <v>38</v>
      </c>
      <c r="E619" t="s">
        <v>27</v>
      </c>
      <c r="F619" t="s">
        <v>36</v>
      </c>
      <c r="G619">
        <v>422</v>
      </c>
      <c r="H619" t="s">
        <v>24</v>
      </c>
      <c r="I619">
        <v>15</v>
      </c>
      <c r="J619">
        <v>50</v>
      </c>
      <c r="K619">
        <v>18</v>
      </c>
      <c r="L619">
        <v>18</v>
      </c>
      <c r="N619">
        <v>50</v>
      </c>
      <c r="O619">
        <v>15</v>
      </c>
      <c r="P619">
        <v>15</v>
      </c>
    </row>
    <row r="620" spans="1:23">
      <c r="A620">
        <v>619</v>
      </c>
      <c r="B620" s="1">
        <v>45350</v>
      </c>
      <c r="C620" s="1">
        <v>45433</v>
      </c>
      <c r="D620" s="29">
        <f>Tailordata[[#This Row],[DueDate]]-Tailordata[[#This Row],[Date]]</f>
        <v>83</v>
      </c>
      <c r="E620" t="s">
        <v>35</v>
      </c>
      <c r="F620" t="s">
        <v>32</v>
      </c>
      <c r="G620">
        <v>483</v>
      </c>
      <c r="H620" t="s">
        <v>34</v>
      </c>
      <c r="O620">
        <v>23</v>
      </c>
      <c r="P620">
        <v>14</v>
      </c>
      <c r="Q620">
        <v>16</v>
      </c>
      <c r="R620">
        <v>19</v>
      </c>
      <c r="U620">
        <v>19</v>
      </c>
      <c r="V620">
        <v>15</v>
      </c>
      <c r="W620">
        <v>19</v>
      </c>
    </row>
    <row r="621" spans="1:23">
      <c r="A621">
        <v>620</v>
      </c>
      <c r="B621" s="1">
        <v>45357</v>
      </c>
      <c r="C621" s="1">
        <v>45432</v>
      </c>
      <c r="D621" s="29">
        <f>Tailordata[[#This Row],[DueDate]]-Tailordata[[#This Row],[Date]]</f>
        <v>75</v>
      </c>
      <c r="E621" t="s">
        <v>33</v>
      </c>
      <c r="F621" t="s">
        <v>32</v>
      </c>
      <c r="G621">
        <v>342</v>
      </c>
      <c r="H621" t="s">
        <v>28</v>
      </c>
      <c r="I621">
        <v>23</v>
      </c>
      <c r="J621">
        <v>43</v>
      </c>
      <c r="K621">
        <v>22</v>
      </c>
      <c r="L621">
        <v>22</v>
      </c>
      <c r="M621">
        <v>16</v>
      </c>
      <c r="N621">
        <v>50</v>
      </c>
      <c r="O621">
        <v>23</v>
      </c>
      <c r="Q621">
        <v>16</v>
      </c>
      <c r="R621">
        <v>17</v>
      </c>
    </row>
    <row r="622" spans="1:23">
      <c r="A622">
        <v>621</v>
      </c>
      <c r="B622" s="1">
        <v>45370</v>
      </c>
      <c r="C622" s="1">
        <v>45425</v>
      </c>
      <c r="D622" s="29">
        <f>Tailordata[[#This Row],[DueDate]]-Tailordata[[#This Row],[Date]]</f>
        <v>55</v>
      </c>
      <c r="E622" t="s">
        <v>33</v>
      </c>
      <c r="F622" t="s">
        <v>23</v>
      </c>
      <c r="G622">
        <v>166</v>
      </c>
      <c r="H622" t="s">
        <v>26</v>
      </c>
      <c r="I622">
        <v>18</v>
      </c>
      <c r="J622">
        <v>29</v>
      </c>
      <c r="K622">
        <v>24</v>
      </c>
      <c r="L622">
        <v>20</v>
      </c>
      <c r="M622">
        <v>24</v>
      </c>
      <c r="N622">
        <v>46</v>
      </c>
      <c r="O622">
        <v>19</v>
      </c>
      <c r="Q622">
        <v>18</v>
      </c>
      <c r="R622">
        <v>22</v>
      </c>
    </row>
    <row r="623" spans="1:23">
      <c r="A623">
        <v>622</v>
      </c>
      <c r="B623" s="1">
        <v>45302</v>
      </c>
      <c r="C623" s="1">
        <v>45424</v>
      </c>
      <c r="D623" s="29">
        <f>Tailordata[[#This Row],[DueDate]]-Tailordata[[#This Row],[Date]]</f>
        <v>122</v>
      </c>
      <c r="E623" t="s">
        <v>27</v>
      </c>
      <c r="F623" t="s">
        <v>32</v>
      </c>
      <c r="G623">
        <v>131</v>
      </c>
      <c r="H623" t="s">
        <v>28</v>
      </c>
      <c r="I623">
        <v>17</v>
      </c>
      <c r="J623">
        <v>47</v>
      </c>
      <c r="K623">
        <v>24</v>
      </c>
      <c r="L623">
        <v>23</v>
      </c>
      <c r="N623">
        <v>48</v>
      </c>
      <c r="O623">
        <v>17</v>
      </c>
      <c r="P623">
        <v>22</v>
      </c>
    </row>
    <row r="624" spans="1:23">
      <c r="A624">
        <v>623</v>
      </c>
      <c r="B624" s="1">
        <v>45403</v>
      </c>
      <c r="C624" s="1">
        <v>45428</v>
      </c>
      <c r="D624" s="29">
        <f>Tailordata[[#This Row],[DueDate]]-Tailordata[[#This Row],[Date]]</f>
        <v>25</v>
      </c>
      <c r="E624" t="s">
        <v>22</v>
      </c>
      <c r="F624" t="s">
        <v>30</v>
      </c>
      <c r="G624">
        <v>93</v>
      </c>
      <c r="H624" t="s">
        <v>28</v>
      </c>
      <c r="I624">
        <v>15</v>
      </c>
      <c r="J624">
        <v>21</v>
      </c>
      <c r="K624">
        <v>15</v>
      </c>
      <c r="L624">
        <v>17</v>
      </c>
      <c r="M624">
        <v>19</v>
      </c>
    </row>
    <row r="625" spans="1:23">
      <c r="A625">
        <v>624</v>
      </c>
      <c r="B625" s="1">
        <v>45354</v>
      </c>
      <c r="C625" s="1">
        <v>45413</v>
      </c>
      <c r="D625" s="29">
        <f>Tailordata[[#This Row],[DueDate]]-Tailordata[[#This Row],[Date]]</f>
        <v>59</v>
      </c>
      <c r="E625" t="s">
        <v>22</v>
      </c>
      <c r="F625" t="s">
        <v>36</v>
      </c>
      <c r="G625">
        <v>412</v>
      </c>
      <c r="H625" t="s">
        <v>31</v>
      </c>
      <c r="I625">
        <v>16</v>
      </c>
      <c r="J625">
        <v>35</v>
      </c>
      <c r="K625">
        <v>19</v>
      </c>
      <c r="L625">
        <v>14</v>
      </c>
      <c r="M625">
        <v>14</v>
      </c>
    </row>
    <row r="626" spans="1:23">
      <c r="A626">
        <v>625</v>
      </c>
      <c r="B626" s="1">
        <v>45344</v>
      </c>
      <c r="C626" s="1">
        <v>45439</v>
      </c>
      <c r="D626" s="29">
        <f>Tailordata[[#This Row],[DueDate]]-Tailordata[[#This Row],[Date]]</f>
        <v>95</v>
      </c>
      <c r="E626" t="s">
        <v>22</v>
      </c>
      <c r="F626" t="s">
        <v>23</v>
      </c>
      <c r="G626">
        <v>410</v>
      </c>
      <c r="H626" t="s">
        <v>31</v>
      </c>
      <c r="I626">
        <v>19</v>
      </c>
      <c r="J626">
        <v>26</v>
      </c>
      <c r="K626">
        <v>21</v>
      </c>
      <c r="L626">
        <v>18</v>
      </c>
      <c r="M626">
        <v>21</v>
      </c>
    </row>
    <row r="627" spans="1:23">
      <c r="A627">
        <v>626</v>
      </c>
      <c r="B627" s="1">
        <v>45367</v>
      </c>
      <c r="C627" s="1">
        <v>45427</v>
      </c>
      <c r="D627" s="29">
        <f>Tailordata[[#This Row],[DueDate]]-Tailordata[[#This Row],[Date]]</f>
        <v>60</v>
      </c>
      <c r="E627" t="s">
        <v>35</v>
      </c>
      <c r="F627" t="s">
        <v>25</v>
      </c>
      <c r="G627">
        <v>71</v>
      </c>
      <c r="H627" t="s">
        <v>24</v>
      </c>
      <c r="O627">
        <v>21</v>
      </c>
      <c r="P627">
        <v>22</v>
      </c>
      <c r="Q627">
        <v>18</v>
      </c>
      <c r="R627">
        <v>17</v>
      </c>
      <c r="U627">
        <v>22</v>
      </c>
      <c r="V627">
        <v>14</v>
      </c>
      <c r="W627">
        <v>23</v>
      </c>
    </row>
    <row r="628" spans="1:23">
      <c r="A628">
        <v>627</v>
      </c>
      <c r="B628" s="1">
        <v>45402</v>
      </c>
      <c r="C628" s="1">
        <v>45434</v>
      </c>
      <c r="D628" s="29">
        <f>Tailordata[[#This Row],[DueDate]]-Tailordata[[#This Row],[Date]]</f>
        <v>32</v>
      </c>
      <c r="E628" t="s">
        <v>27</v>
      </c>
      <c r="F628" t="s">
        <v>30</v>
      </c>
      <c r="G628">
        <v>387</v>
      </c>
      <c r="H628" t="s">
        <v>34</v>
      </c>
      <c r="I628">
        <v>21</v>
      </c>
      <c r="J628">
        <v>30</v>
      </c>
      <c r="K628">
        <v>21</v>
      </c>
      <c r="L628">
        <v>16</v>
      </c>
      <c r="N628">
        <v>39</v>
      </c>
      <c r="O628">
        <v>24</v>
      </c>
      <c r="P628">
        <v>21</v>
      </c>
    </row>
    <row r="629" spans="1:23">
      <c r="A629">
        <v>628</v>
      </c>
      <c r="B629" s="1">
        <v>45310</v>
      </c>
      <c r="C629" s="1">
        <v>45424</v>
      </c>
      <c r="D629" s="29">
        <f>Tailordata[[#This Row],[DueDate]]-Tailordata[[#This Row],[Date]]</f>
        <v>114</v>
      </c>
      <c r="E629" t="s">
        <v>35</v>
      </c>
      <c r="F629" t="s">
        <v>36</v>
      </c>
      <c r="G629">
        <v>349</v>
      </c>
      <c r="H629" t="s">
        <v>28</v>
      </c>
      <c r="O629">
        <v>18</v>
      </c>
      <c r="P629">
        <v>17</v>
      </c>
      <c r="Q629">
        <v>14</v>
      </c>
      <c r="R629">
        <v>19</v>
      </c>
      <c r="U629">
        <v>21</v>
      </c>
      <c r="V629">
        <v>17</v>
      </c>
      <c r="W629">
        <v>20</v>
      </c>
    </row>
    <row r="630" spans="1:23">
      <c r="A630">
        <v>629</v>
      </c>
      <c r="B630" s="1">
        <v>45334</v>
      </c>
      <c r="C630" s="1">
        <v>45440</v>
      </c>
      <c r="D630" s="29">
        <f>Tailordata[[#This Row],[DueDate]]-Tailordata[[#This Row],[Date]]</f>
        <v>106</v>
      </c>
      <c r="E630" t="s">
        <v>35</v>
      </c>
      <c r="F630" t="s">
        <v>36</v>
      </c>
      <c r="G630">
        <v>435</v>
      </c>
      <c r="H630" t="s">
        <v>28</v>
      </c>
      <c r="O630">
        <v>21</v>
      </c>
      <c r="P630">
        <v>14</v>
      </c>
      <c r="Q630">
        <v>14</v>
      </c>
      <c r="R630">
        <v>20</v>
      </c>
      <c r="U630">
        <v>17</v>
      </c>
      <c r="V630">
        <v>23</v>
      </c>
      <c r="W630">
        <v>22</v>
      </c>
    </row>
    <row r="631" spans="1:23">
      <c r="A631">
        <v>630</v>
      </c>
      <c r="B631" s="1">
        <v>45386</v>
      </c>
      <c r="C631" s="1">
        <v>45428</v>
      </c>
      <c r="D631" s="29">
        <f>Tailordata[[#This Row],[DueDate]]-Tailordata[[#This Row],[Date]]</f>
        <v>42</v>
      </c>
      <c r="E631" t="s">
        <v>35</v>
      </c>
      <c r="F631" t="s">
        <v>25</v>
      </c>
      <c r="G631">
        <v>139</v>
      </c>
      <c r="H631" t="s">
        <v>31</v>
      </c>
      <c r="O631">
        <v>19</v>
      </c>
      <c r="P631">
        <v>23</v>
      </c>
      <c r="Q631">
        <v>24</v>
      </c>
      <c r="R631">
        <v>14</v>
      </c>
      <c r="U631">
        <v>24</v>
      </c>
      <c r="V631">
        <v>19</v>
      </c>
      <c r="W631">
        <v>21</v>
      </c>
    </row>
    <row r="632" spans="1:23">
      <c r="A632">
        <v>631</v>
      </c>
      <c r="B632" s="1">
        <v>45321</v>
      </c>
      <c r="C632" s="1">
        <v>45417</v>
      </c>
      <c r="D632" s="29">
        <f>Tailordata[[#This Row],[DueDate]]-Tailordata[[#This Row],[Date]]</f>
        <v>96</v>
      </c>
      <c r="E632" t="s">
        <v>29</v>
      </c>
      <c r="F632" t="s">
        <v>32</v>
      </c>
      <c r="G632">
        <v>425</v>
      </c>
      <c r="H632" t="s">
        <v>28</v>
      </c>
      <c r="O632">
        <v>15</v>
      </c>
      <c r="Q632">
        <v>16</v>
      </c>
      <c r="R632">
        <v>24</v>
      </c>
      <c r="S632">
        <v>24</v>
      </c>
      <c r="T632">
        <v>23</v>
      </c>
      <c r="U632">
        <v>22</v>
      </c>
    </row>
    <row r="633" spans="1:23">
      <c r="A633">
        <v>632</v>
      </c>
      <c r="B633" s="1">
        <v>45294</v>
      </c>
      <c r="C633" s="1">
        <v>45433</v>
      </c>
      <c r="D633" s="29">
        <f>Tailordata[[#This Row],[DueDate]]-Tailordata[[#This Row],[Date]]</f>
        <v>139</v>
      </c>
      <c r="E633" t="s">
        <v>27</v>
      </c>
      <c r="F633" t="s">
        <v>25</v>
      </c>
      <c r="G633">
        <v>105</v>
      </c>
      <c r="H633" t="s">
        <v>31</v>
      </c>
      <c r="I633">
        <v>21</v>
      </c>
      <c r="J633">
        <v>30</v>
      </c>
      <c r="K633">
        <v>24</v>
      </c>
      <c r="L633">
        <v>14</v>
      </c>
      <c r="N633">
        <v>36</v>
      </c>
      <c r="O633">
        <v>16</v>
      </c>
      <c r="P633">
        <v>19</v>
      </c>
    </row>
    <row r="634" spans="1:23">
      <c r="A634">
        <v>633</v>
      </c>
      <c r="B634" s="1">
        <v>45352</v>
      </c>
      <c r="C634" s="1">
        <v>45428</v>
      </c>
      <c r="D634" s="29">
        <f>Tailordata[[#This Row],[DueDate]]-Tailordata[[#This Row],[Date]]</f>
        <v>76</v>
      </c>
      <c r="E634" t="s">
        <v>27</v>
      </c>
      <c r="F634" t="s">
        <v>25</v>
      </c>
      <c r="G634">
        <v>470</v>
      </c>
      <c r="H634" t="s">
        <v>26</v>
      </c>
      <c r="I634">
        <v>16</v>
      </c>
      <c r="J634">
        <v>50</v>
      </c>
      <c r="K634">
        <v>14</v>
      </c>
      <c r="L634">
        <v>15</v>
      </c>
      <c r="N634">
        <v>47</v>
      </c>
      <c r="O634">
        <v>22</v>
      </c>
      <c r="P634">
        <v>19</v>
      </c>
    </row>
    <row r="635" spans="1:23">
      <c r="A635">
        <v>634</v>
      </c>
      <c r="B635" s="1">
        <v>45406</v>
      </c>
      <c r="C635" s="1">
        <v>45424</v>
      </c>
      <c r="D635" s="29">
        <f>Tailordata[[#This Row],[DueDate]]-Tailordata[[#This Row],[Date]]</f>
        <v>18</v>
      </c>
      <c r="E635" t="s">
        <v>22</v>
      </c>
      <c r="F635" t="s">
        <v>30</v>
      </c>
      <c r="G635">
        <v>201</v>
      </c>
      <c r="H635" t="s">
        <v>28</v>
      </c>
      <c r="I635">
        <v>21</v>
      </c>
      <c r="J635">
        <v>27</v>
      </c>
      <c r="K635">
        <v>22</v>
      </c>
      <c r="L635">
        <v>23</v>
      </c>
      <c r="M635">
        <v>21</v>
      </c>
    </row>
    <row r="636" spans="1:23">
      <c r="A636">
        <v>635</v>
      </c>
      <c r="B636" s="1">
        <v>45331</v>
      </c>
      <c r="C636" s="1">
        <v>45440</v>
      </c>
      <c r="D636" s="29">
        <f>Tailordata[[#This Row],[DueDate]]-Tailordata[[#This Row],[Date]]</f>
        <v>109</v>
      </c>
      <c r="E636" t="s">
        <v>29</v>
      </c>
      <c r="F636" t="s">
        <v>30</v>
      </c>
      <c r="G636">
        <v>310</v>
      </c>
      <c r="H636" t="s">
        <v>26</v>
      </c>
      <c r="O636">
        <v>14</v>
      </c>
      <c r="Q636">
        <v>17</v>
      </c>
      <c r="R636">
        <v>23</v>
      </c>
      <c r="S636">
        <v>19</v>
      </c>
      <c r="T636">
        <v>15</v>
      </c>
      <c r="U636">
        <v>18</v>
      </c>
    </row>
    <row r="637" spans="1:23">
      <c r="A637">
        <v>636</v>
      </c>
      <c r="B637" s="1">
        <v>45315</v>
      </c>
      <c r="C637" s="1">
        <v>45433</v>
      </c>
      <c r="D637" s="29">
        <f>Tailordata[[#This Row],[DueDate]]-Tailordata[[#This Row],[Date]]</f>
        <v>118</v>
      </c>
      <c r="E637" t="s">
        <v>22</v>
      </c>
      <c r="F637" t="s">
        <v>32</v>
      </c>
      <c r="G637">
        <v>366</v>
      </c>
      <c r="H637" t="s">
        <v>28</v>
      </c>
      <c r="I637">
        <v>24</v>
      </c>
      <c r="J637">
        <v>38</v>
      </c>
      <c r="K637">
        <v>21</v>
      </c>
      <c r="L637">
        <v>22</v>
      </c>
      <c r="M637">
        <v>16</v>
      </c>
    </row>
    <row r="638" spans="1:23">
      <c r="A638">
        <v>637</v>
      </c>
      <c r="B638" s="1">
        <v>45328</v>
      </c>
      <c r="C638" s="1">
        <v>45425</v>
      </c>
      <c r="D638" s="29">
        <f>Tailordata[[#This Row],[DueDate]]-Tailordata[[#This Row],[Date]]</f>
        <v>97</v>
      </c>
      <c r="E638" t="s">
        <v>33</v>
      </c>
      <c r="F638" t="s">
        <v>30</v>
      </c>
      <c r="G638">
        <v>83</v>
      </c>
      <c r="H638" t="s">
        <v>26</v>
      </c>
      <c r="I638">
        <v>21</v>
      </c>
      <c r="J638">
        <v>28</v>
      </c>
      <c r="K638">
        <v>16</v>
      </c>
      <c r="L638">
        <v>24</v>
      </c>
      <c r="M638">
        <v>15</v>
      </c>
      <c r="N638">
        <v>31</v>
      </c>
      <c r="O638">
        <v>15</v>
      </c>
      <c r="Q638">
        <v>14</v>
      </c>
      <c r="R638">
        <v>24</v>
      </c>
    </row>
    <row r="639" spans="1:23">
      <c r="A639">
        <v>638</v>
      </c>
      <c r="B639" s="1">
        <v>45361</v>
      </c>
      <c r="C639" s="1">
        <v>45422</v>
      </c>
      <c r="D639" s="29">
        <f>Tailordata[[#This Row],[DueDate]]-Tailordata[[#This Row],[Date]]</f>
        <v>61</v>
      </c>
      <c r="E639" t="s">
        <v>22</v>
      </c>
      <c r="F639" t="s">
        <v>32</v>
      </c>
      <c r="G639">
        <v>406</v>
      </c>
      <c r="H639" t="s">
        <v>34</v>
      </c>
      <c r="I639">
        <v>15</v>
      </c>
      <c r="J639">
        <v>26</v>
      </c>
      <c r="K639">
        <v>23</v>
      </c>
      <c r="L639">
        <v>16</v>
      </c>
      <c r="M639">
        <v>22</v>
      </c>
    </row>
    <row r="640" spans="1:23">
      <c r="A640">
        <v>639</v>
      </c>
      <c r="B640" s="1">
        <v>45366</v>
      </c>
      <c r="C640" s="1">
        <v>45428</v>
      </c>
      <c r="D640" s="29">
        <f>Tailordata[[#This Row],[DueDate]]-Tailordata[[#This Row],[Date]]</f>
        <v>62</v>
      </c>
      <c r="E640" t="s">
        <v>29</v>
      </c>
      <c r="F640" t="s">
        <v>32</v>
      </c>
      <c r="G640">
        <v>421</v>
      </c>
      <c r="H640" t="s">
        <v>26</v>
      </c>
      <c r="O640">
        <v>16</v>
      </c>
      <c r="Q640">
        <v>23</v>
      </c>
      <c r="R640">
        <v>14</v>
      </c>
      <c r="S640">
        <v>23</v>
      </c>
      <c r="T640">
        <v>20</v>
      </c>
      <c r="U640">
        <v>17</v>
      </c>
    </row>
    <row r="641" spans="1:23">
      <c r="A641">
        <v>640</v>
      </c>
      <c r="B641" s="1">
        <v>45323</v>
      </c>
      <c r="C641" s="1">
        <v>45433</v>
      </c>
      <c r="D641" s="29">
        <f>Tailordata[[#This Row],[DueDate]]-Tailordata[[#This Row],[Date]]</f>
        <v>110</v>
      </c>
      <c r="E641" t="s">
        <v>35</v>
      </c>
      <c r="F641" t="s">
        <v>32</v>
      </c>
      <c r="G641">
        <v>127</v>
      </c>
      <c r="H641" t="s">
        <v>28</v>
      </c>
      <c r="O641">
        <v>22</v>
      </c>
      <c r="P641">
        <v>24</v>
      </c>
      <c r="Q641">
        <v>22</v>
      </c>
      <c r="R641">
        <v>24</v>
      </c>
      <c r="U641">
        <v>16</v>
      </c>
      <c r="V641">
        <v>18</v>
      </c>
      <c r="W641">
        <v>17</v>
      </c>
    </row>
    <row r="642" spans="1:23">
      <c r="A642">
        <v>641</v>
      </c>
      <c r="B642" s="1">
        <v>45324</v>
      </c>
      <c r="C642" s="1">
        <v>45411</v>
      </c>
      <c r="D642" s="29">
        <f>Tailordata[[#This Row],[DueDate]]-Tailordata[[#This Row],[Date]]</f>
        <v>87</v>
      </c>
      <c r="E642" t="s">
        <v>22</v>
      </c>
      <c r="F642" t="s">
        <v>30</v>
      </c>
      <c r="G642">
        <v>70</v>
      </c>
      <c r="H642" t="s">
        <v>24</v>
      </c>
      <c r="I642">
        <v>14</v>
      </c>
      <c r="J642">
        <v>20</v>
      </c>
      <c r="K642">
        <v>15</v>
      </c>
      <c r="L642">
        <v>19</v>
      </c>
      <c r="M642">
        <v>15</v>
      </c>
    </row>
    <row r="643" spans="1:23">
      <c r="A643">
        <v>642</v>
      </c>
      <c r="B643" s="1">
        <v>45398</v>
      </c>
      <c r="C643" s="1">
        <v>45435</v>
      </c>
      <c r="D643" s="29">
        <f>Tailordata[[#This Row],[DueDate]]-Tailordata[[#This Row],[Date]]</f>
        <v>37</v>
      </c>
      <c r="E643" t="s">
        <v>33</v>
      </c>
      <c r="F643" t="s">
        <v>23</v>
      </c>
      <c r="G643">
        <v>476</v>
      </c>
      <c r="H643" t="s">
        <v>24</v>
      </c>
      <c r="I643">
        <v>15</v>
      </c>
      <c r="J643">
        <v>38</v>
      </c>
      <c r="K643">
        <v>15</v>
      </c>
      <c r="L643">
        <v>23</v>
      </c>
      <c r="M643">
        <v>23</v>
      </c>
      <c r="N643">
        <v>23</v>
      </c>
      <c r="O643">
        <v>24</v>
      </c>
      <c r="Q643">
        <v>24</v>
      </c>
      <c r="R643">
        <v>19</v>
      </c>
    </row>
    <row r="644" spans="1:23">
      <c r="A644">
        <v>643</v>
      </c>
      <c r="B644" s="1">
        <v>45383</v>
      </c>
      <c r="C644" s="1">
        <v>45419</v>
      </c>
      <c r="D644" s="29">
        <f>Tailordata[[#This Row],[DueDate]]-Tailordata[[#This Row],[Date]]</f>
        <v>36</v>
      </c>
      <c r="E644" t="s">
        <v>33</v>
      </c>
      <c r="F644" t="s">
        <v>25</v>
      </c>
      <c r="G644">
        <v>433</v>
      </c>
      <c r="H644" t="s">
        <v>34</v>
      </c>
      <c r="I644">
        <v>15</v>
      </c>
      <c r="J644">
        <v>27</v>
      </c>
      <c r="K644">
        <v>17</v>
      </c>
      <c r="L644">
        <v>18</v>
      </c>
      <c r="M644">
        <v>24</v>
      </c>
      <c r="N644">
        <v>42</v>
      </c>
      <c r="O644">
        <v>23</v>
      </c>
      <c r="Q644">
        <v>24</v>
      </c>
      <c r="R644">
        <v>18</v>
      </c>
    </row>
    <row r="645" spans="1:23">
      <c r="A645">
        <v>644</v>
      </c>
      <c r="B645" s="1">
        <v>45338</v>
      </c>
      <c r="C645" s="1">
        <v>45417</v>
      </c>
      <c r="D645" s="29">
        <f>Tailordata[[#This Row],[DueDate]]-Tailordata[[#This Row],[Date]]</f>
        <v>79</v>
      </c>
      <c r="E645" t="s">
        <v>35</v>
      </c>
      <c r="F645" t="s">
        <v>32</v>
      </c>
      <c r="G645">
        <v>432</v>
      </c>
      <c r="H645" t="s">
        <v>26</v>
      </c>
      <c r="O645">
        <v>24</v>
      </c>
      <c r="P645">
        <v>17</v>
      </c>
      <c r="Q645">
        <v>16</v>
      </c>
      <c r="R645">
        <v>20</v>
      </c>
      <c r="U645">
        <v>20</v>
      </c>
      <c r="V645">
        <v>22</v>
      </c>
      <c r="W645">
        <v>19</v>
      </c>
    </row>
    <row r="646" spans="1:23">
      <c r="A646">
        <v>645</v>
      </c>
      <c r="B646" s="1">
        <v>45332</v>
      </c>
      <c r="C646" s="1">
        <v>45421</v>
      </c>
      <c r="D646" s="29">
        <f>Tailordata[[#This Row],[DueDate]]-Tailordata[[#This Row],[Date]]</f>
        <v>89</v>
      </c>
      <c r="E646" t="s">
        <v>35</v>
      </c>
      <c r="F646" t="s">
        <v>25</v>
      </c>
      <c r="G646">
        <v>365</v>
      </c>
      <c r="H646" t="s">
        <v>28</v>
      </c>
      <c r="O646">
        <v>15</v>
      </c>
      <c r="P646">
        <v>14</v>
      </c>
      <c r="Q646">
        <v>15</v>
      </c>
      <c r="R646">
        <v>17</v>
      </c>
      <c r="U646">
        <v>16</v>
      </c>
      <c r="V646">
        <v>17</v>
      </c>
      <c r="W646">
        <v>17</v>
      </c>
    </row>
    <row r="647" spans="1:23">
      <c r="A647">
        <v>646</v>
      </c>
      <c r="B647" s="1">
        <v>45323</v>
      </c>
      <c r="C647" s="1">
        <v>45418</v>
      </c>
      <c r="D647" s="29">
        <f>Tailordata[[#This Row],[DueDate]]-Tailordata[[#This Row],[Date]]</f>
        <v>95</v>
      </c>
      <c r="E647" t="s">
        <v>33</v>
      </c>
      <c r="F647" t="s">
        <v>23</v>
      </c>
      <c r="G647">
        <v>427</v>
      </c>
      <c r="H647" t="s">
        <v>31</v>
      </c>
      <c r="I647">
        <v>24</v>
      </c>
      <c r="J647">
        <v>47</v>
      </c>
      <c r="K647">
        <v>18</v>
      </c>
      <c r="L647">
        <v>20</v>
      </c>
      <c r="M647">
        <v>19</v>
      </c>
      <c r="N647">
        <v>34</v>
      </c>
      <c r="O647">
        <v>16</v>
      </c>
      <c r="Q647">
        <v>20</v>
      </c>
      <c r="R647">
        <v>24</v>
      </c>
    </row>
    <row r="648" spans="1:23">
      <c r="A648">
        <v>647</v>
      </c>
      <c r="B648" s="1">
        <v>45293</v>
      </c>
      <c r="C648" s="1">
        <v>45424</v>
      </c>
      <c r="D648" s="29">
        <f>Tailordata[[#This Row],[DueDate]]-Tailordata[[#This Row],[Date]]</f>
        <v>131</v>
      </c>
      <c r="E648" t="s">
        <v>35</v>
      </c>
      <c r="F648" t="s">
        <v>30</v>
      </c>
      <c r="G648">
        <v>421</v>
      </c>
      <c r="H648" t="s">
        <v>31</v>
      </c>
      <c r="O648">
        <v>17</v>
      </c>
      <c r="P648">
        <v>17</v>
      </c>
      <c r="Q648">
        <v>20</v>
      </c>
      <c r="R648">
        <v>24</v>
      </c>
      <c r="U648">
        <v>14</v>
      </c>
      <c r="V648">
        <v>14</v>
      </c>
      <c r="W648">
        <v>14</v>
      </c>
    </row>
    <row r="649" spans="1:23">
      <c r="A649">
        <v>648</v>
      </c>
      <c r="B649" s="1">
        <v>45365</v>
      </c>
      <c r="C649" s="1">
        <v>45424</v>
      </c>
      <c r="D649" s="29">
        <f>Tailordata[[#This Row],[DueDate]]-Tailordata[[#This Row],[Date]]</f>
        <v>59</v>
      </c>
      <c r="E649" t="s">
        <v>29</v>
      </c>
      <c r="F649" t="s">
        <v>23</v>
      </c>
      <c r="G649">
        <v>127</v>
      </c>
      <c r="H649" t="s">
        <v>31</v>
      </c>
      <c r="O649">
        <v>23</v>
      </c>
      <c r="Q649">
        <v>21</v>
      </c>
      <c r="R649">
        <v>14</v>
      </c>
      <c r="S649">
        <v>23</v>
      </c>
      <c r="T649">
        <v>19</v>
      </c>
      <c r="U649">
        <v>14</v>
      </c>
    </row>
    <row r="650" spans="1:23">
      <c r="A650">
        <v>649</v>
      </c>
      <c r="B650" s="1">
        <v>45310</v>
      </c>
      <c r="C650" s="1">
        <v>45439</v>
      </c>
      <c r="D650" s="29">
        <f>Tailordata[[#This Row],[DueDate]]-Tailordata[[#This Row],[Date]]</f>
        <v>129</v>
      </c>
      <c r="E650" t="s">
        <v>33</v>
      </c>
      <c r="F650" t="s">
        <v>25</v>
      </c>
      <c r="G650">
        <v>383</v>
      </c>
      <c r="H650" t="s">
        <v>26</v>
      </c>
      <c r="I650">
        <v>22</v>
      </c>
      <c r="J650">
        <v>37</v>
      </c>
      <c r="K650">
        <v>16</v>
      </c>
      <c r="L650">
        <v>24</v>
      </c>
      <c r="M650">
        <v>16</v>
      </c>
      <c r="N650">
        <v>23</v>
      </c>
      <c r="O650">
        <v>23</v>
      </c>
      <c r="Q650">
        <v>22</v>
      </c>
      <c r="R650">
        <v>14</v>
      </c>
    </row>
    <row r="651" spans="1:23">
      <c r="A651">
        <v>650</v>
      </c>
      <c r="B651" s="1">
        <v>45365</v>
      </c>
      <c r="C651" s="1">
        <v>45440</v>
      </c>
      <c r="D651" s="29">
        <f>Tailordata[[#This Row],[DueDate]]-Tailordata[[#This Row],[Date]]</f>
        <v>75</v>
      </c>
      <c r="E651" t="s">
        <v>35</v>
      </c>
      <c r="F651" t="s">
        <v>36</v>
      </c>
      <c r="G651">
        <v>141</v>
      </c>
      <c r="H651" t="s">
        <v>24</v>
      </c>
      <c r="O651">
        <v>21</v>
      </c>
      <c r="P651">
        <v>17</v>
      </c>
      <c r="Q651">
        <v>23</v>
      </c>
      <c r="R651">
        <v>18</v>
      </c>
      <c r="U651">
        <v>21</v>
      </c>
      <c r="V651">
        <v>18</v>
      </c>
      <c r="W651">
        <v>19</v>
      </c>
    </row>
    <row r="652" spans="1:23">
      <c r="A652">
        <v>651</v>
      </c>
      <c r="B652" s="1">
        <v>45338</v>
      </c>
      <c r="C652" s="1">
        <v>45430</v>
      </c>
      <c r="D652" s="29">
        <f>Tailordata[[#This Row],[DueDate]]-Tailordata[[#This Row],[Date]]</f>
        <v>92</v>
      </c>
      <c r="E652" t="s">
        <v>27</v>
      </c>
      <c r="F652" t="s">
        <v>25</v>
      </c>
      <c r="G652">
        <v>389</v>
      </c>
      <c r="H652" t="s">
        <v>24</v>
      </c>
      <c r="I652">
        <v>18</v>
      </c>
      <c r="J652">
        <v>43</v>
      </c>
      <c r="K652">
        <v>19</v>
      </c>
      <c r="L652">
        <v>24</v>
      </c>
      <c r="N652">
        <v>38</v>
      </c>
      <c r="O652">
        <v>21</v>
      </c>
      <c r="P652">
        <v>14</v>
      </c>
    </row>
    <row r="653" spans="1:23">
      <c r="A653">
        <v>652</v>
      </c>
      <c r="B653" s="1">
        <v>45386</v>
      </c>
      <c r="C653" s="1">
        <v>45440</v>
      </c>
      <c r="D653" s="29">
        <f>Tailordata[[#This Row],[DueDate]]-Tailordata[[#This Row],[Date]]</f>
        <v>54</v>
      </c>
      <c r="E653" t="s">
        <v>22</v>
      </c>
      <c r="F653" t="s">
        <v>32</v>
      </c>
      <c r="G653">
        <v>498</v>
      </c>
      <c r="H653" t="s">
        <v>34</v>
      </c>
      <c r="I653">
        <v>20</v>
      </c>
      <c r="J653">
        <v>36</v>
      </c>
      <c r="K653">
        <v>24</v>
      </c>
      <c r="L653">
        <v>24</v>
      </c>
      <c r="M653">
        <v>19</v>
      </c>
    </row>
    <row r="654" spans="1:23">
      <c r="A654">
        <v>653</v>
      </c>
      <c r="B654" s="1">
        <v>45355</v>
      </c>
      <c r="C654" s="1">
        <v>45440</v>
      </c>
      <c r="D654" s="29">
        <f>Tailordata[[#This Row],[DueDate]]-Tailordata[[#This Row],[Date]]</f>
        <v>85</v>
      </c>
      <c r="E654" t="s">
        <v>29</v>
      </c>
      <c r="F654" t="s">
        <v>32</v>
      </c>
      <c r="G654">
        <v>333</v>
      </c>
      <c r="H654" t="s">
        <v>28</v>
      </c>
      <c r="O654">
        <v>16</v>
      </c>
      <c r="Q654">
        <v>23</v>
      </c>
      <c r="R654">
        <v>21</v>
      </c>
      <c r="S654">
        <v>23</v>
      </c>
      <c r="T654">
        <v>18</v>
      </c>
      <c r="U654">
        <v>18</v>
      </c>
    </row>
    <row r="655" spans="1:23">
      <c r="A655">
        <v>654</v>
      </c>
      <c r="B655" s="1">
        <v>45325</v>
      </c>
      <c r="C655" s="1">
        <v>45437</v>
      </c>
      <c r="D655" s="29">
        <f>Tailordata[[#This Row],[DueDate]]-Tailordata[[#This Row],[Date]]</f>
        <v>112</v>
      </c>
      <c r="E655" t="s">
        <v>33</v>
      </c>
      <c r="F655" t="s">
        <v>36</v>
      </c>
      <c r="G655">
        <v>300</v>
      </c>
      <c r="H655" t="s">
        <v>24</v>
      </c>
      <c r="I655">
        <v>23</v>
      </c>
      <c r="J655">
        <v>44</v>
      </c>
      <c r="K655">
        <v>15</v>
      </c>
      <c r="L655">
        <v>14</v>
      </c>
      <c r="M655">
        <v>22</v>
      </c>
      <c r="N655">
        <v>46</v>
      </c>
      <c r="O655">
        <v>20</v>
      </c>
      <c r="Q655">
        <v>23</v>
      </c>
      <c r="R655">
        <v>16</v>
      </c>
    </row>
    <row r="656" spans="1:23">
      <c r="A656">
        <v>655</v>
      </c>
      <c r="B656" s="1">
        <v>45316</v>
      </c>
      <c r="C656" s="1">
        <v>45434</v>
      </c>
      <c r="D656" s="29">
        <f>Tailordata[[#This Row],[DueDate]]-Tailordata[[#This Row],[Date]]</f>
        <v>118</v>
      </c>
      <c r="E656" t="s">
        <v>33</v>
      </c>
      <c r="F656" t="s">
        <v>25</v>
      </c>
      <c r="G656">
        <v>163</v>
      </c>
      <c r="H656" t="s">
        <v>24</v>
      </c>
      <c r="I656">
        <v>23</v>
      </c>
      <c r="J656">
        <v>49</v>
      </c>
      <c r="K656">
        <v>18</v>
      </c>
      <c r="L656">
        <v>18</v>
      </c>
      <c r="M656">
        <v>18</v>
      </c>
      <c r="N656">
        <v>50</v>
      </c>
      <c r="O656">
        <v>14</v>
      </c>
      <c r="Q656">
        <v>24</v>
      </c>
      <c r="R656">
        <v>16</v>
      </c>
    </row>
    <row r="657" spans="1:23">
      <c r="A657">
        <v>656</v>
      </c>
      <c r="B657" s="1">
        <v>45309</v>
      </c>
      <c r="C657" s="1">
        <v>45417</v>
      </c>
      <c r="D657" s="29">
        <f>Tailordata[[#This Row],[DueDate]]-Tailordata[[#This Row],[Date]]</f>
        <v>108</v>
      </c>
      <c r="E657" t="s">
        <v>29</v>
      </c>
      <c r="F657" t="s">
        <v>32</v>
      </c>
      <c r="G657">
        <v>321</v>
      </c>
      <c r="H657" t="s">
        <v>24</v>
      </c>
      <c r="O657">
        <v>14</v>
      </c>
      <c r="Q657">
        <v>18</v>
      </c>
      <c r="R657">
        <v>19</v>
      </c>
      <c r="S657">
        <v>23</v>
      </c>
      <c r="T657">
        <v>19</v>
      </c>
      <c r="U657">
        <v>23</v>
      </c>
    </row>
    <row r="658" spans="1:23">
      <c r="A658">
        <v>657</v>
      </c>
      <c r="B658" s="1">
        <v>45302</v>
      </c>
      <c r="C658" s="1">
        <v>45425</v>
      </c>
      <c r="D658" s="29">
        <f>Tailordata[[#This Row],[DueDate]]-Tailordata[[#This Row],[Date]]</f>
        <v>123</v>
      </c>
      <c r="E658" t="s">
        <v>29</v>
      </c>
      <c r="F658" t="s">
        <v>36</v>
      </c>
      <c r="G658">
        <v>391</v>
      </c>
      <c r="H658" t="s">
        <v>26</v>
      </c>
      <c r="O658">
        <v>21</v>
      </c>
      <c r="Q658">
        <v>20</v>
      </c>
      <c r="R658">
        <v>22</v>
      </c>
      <c r="S658">
        <v>20</v>
      </c>
      <c r="T658">
        <v>22</v>
      </c>
      <c r="U658">
        <v>22</v>
      </c>
    </row>
    <row r="659" spans="1:23">
      <c r="A659">
        <v>658</v>
      </c>
      <c r="B659" s="1">
        <v>45313</v>
      </c>
      <c r="C659" s="1">
        <v>45422</v>
      </c>
      <c r="D659" s="29">
        <f>Tailordata[[#This Row],[DueDate]]-Tailordata[[#This Row],[Date]]</f>
        <v>109</v>
      </c>
      <c r="E659" t="s">
        <v>22</v>
      </c>
      <c r="F659" t="s">
        <v>23</v>
      </c>
      <c r="G659">
        <v>224</v>
      </c>
      <c r="H659" t="s">
        <v>26</v>
      </c>
      <c r="I659">
        <v>19</v>
      </c>
      <c r="J659">
        <v>27</v>
      </c>
      <c r="K659">
        <v>17</v>
      </c>
      <c r="L659">
        <v>17</v>
      </c>
      <c r="M659">
        <v>18</v>
      </c>
    </row>
    <row r="660" spans="1:23">
      <c r="A660">
        <v>659</v>
      </c>
      <c r="B660" s="1">
        <v>45379</v>
      </c>
      <c r="C660" s="1">
        <v>45423</v>
      </c>
      <c r="D660" s="29">
        <f>Tailordata[[#This Row],[DueDate]]-Tailordata[[#This Row],[Date]]</f>
        <v>44</v>
      </c>
      <c r="E660" t="s">
        <v>27</v>
      </c>
      <c r="F660" t="s">
        <v>30</v>
      </c>
      <c r="G660">
        <v>257</v>
      </c>
      <c r="H660" t="s">
        <v>24</v>
      </c>
      <c r="I660">
        <v>16</v>
      </c>
      <c r="J660">
        <v>32</v>
      </c>
      <c r="K660">
        <v>16</v>
      </c>
      <c r="L660">
        <v>15</v>
      </c>
      <c r="N660">
        <v>48</v>
      </c>
      <c r="O660">
        <v>20</v>
      </c>
      <c r="P660">
        <v>17</v>
      </c>
    </row>
    <row r="661" spans="1:23">
      <c r="A661">
        <v>660</v>
      </c>
      <c r="B661" s="1">
        <v>45369</v>
      </c>
      <c r="C661" s="1">
        <v>45429</v>
      </c>
      <c r="D661" s="29">
        <f>Tailordata[[#This Row],[DueDate]]-Tailordata[[#This Row],[Date]]</f>
        <v>60</v>
      </c>
      <c r="E661" t="s">
        <v>27</v>
      </c>
      <c r="F661" t="s">
        <v>23</v>
      </c>
      <c r="G661">
        <v>243</v>
      </c>
      <c r="H661" t="s">
        <v>34</v>
      </c>
      <c r="I661">
        <v>15</v>
      </c>
      <c r="J661">
        <v>28</v>
      </c>
      <c r="K661">
        <v>14</v>
      </c>
      <c r="L661">
        <v>21</v>
      </c>
      <c r="N661">
        <v>33</v>
      </c>
      <c r="O661">
        <v>16</v>
      </c>
      <c r="P661">
        <v>21</v>
      </c>
    </row>
    <row r="662" spans="1:23">
      <c r="A662">
        <v>661</v>
      </c>
      <c r="B662" s="1">
        <v>45299</v>
      </c>
      <c r="C662" s="1">
        <v>45413</v>
      </c>
      <c r="D662" s="29">
        <f>Tailordata[[#This Row],[DueDate]]-Tailordata[[#This Row],[Date]]</f>
        <v>114</v>
      </c>
      <c r="E662" t="s">
        <v>27</v>
      </c>
      <c r="F662" t="s">
        <v>30</v>
      </c>
      <c r="G662">
        <v>326</v>
      </c>
      <c r="H662" t="s">
        <v>24</v>
      </c>
      <c r="I662">
        <v>22</v>
      </c>
      <c r="J662">
        <v>40</v>
      </c>
      <c r="K662">
        <v>24</v>
      </c>
      <c r="L662">
        <v>16</v>
      </c>
      <c r="N662">
        <v>48</v>
      </c>
      <c r="O662">
        <v>24</v>
      </c>
      <c r="P662">
        <v>18</v>
      </c>
    </row>
    <row r="663" spans="1:23">
      <c r="A663">
        <v>662</v>
      </c>
      <c r="B663" s="1">
        <v>45377</v>
      </c>
      <c r="C663" s="1">
        <v>45426</v>
      </c>
      <c r="D663" s="29">
        <f>Tailordata[[#This Row],[DueDate]]-Tailordata[[#This Row],[Date]]</f>
        <v>49</v>
      </c>
      <c r="E663" t="s">
        <v>29</v>
      </c>
      <c r="F663" t="s">
        <v>23</v>
      </c>
      <c r="G663">
        <v>91</v>
      </c>
      <c r="H663" t="s">
        <v>34</v>
      </c>
      <c r="O663">
        <v>16</v>
      </c>
      <c r="Q663">
        <v>16</v>
      </c>
      <c r="R663">
        <v>21</v>
      </c>
      <c r="S663">
        <v>18</v>
      </c>
      <c r="T663">
        <v>16</v>
      </c>
      <c r="U663">
        <v>14</v>
      </c>
    </row>
    <row r="664" spans="1:23">
      <c r="A664">
        <v>663</v>
      </c>
      <c r="B664" s="1">
        <v>45376</v>
      </c>
      <c r="C664" s="1">
        <v>45436</v>
      </c>
      <c r="D664" s="29">
        <f>Tailordata[[#This Row],[DueDate]]-Tailordata[[#This Row],[Date]]</f>
        <v>60</v>
      </c>
      <c r="E664" t="s">
        <v>35</v>
      </c>
      <c r="F664" t="s">
        <v>36</v>
      </c>
      <c r="G664">
        <v>315</v>
      </c>
      <c r="H664" t="s">
        <v>26</v>
      </c>
      <c r="O664">
        <v>19</v>
      </c>
      <c r="P664">
        <v>21</v>
      </c>
      <c r="Q664">
        <v>15</v>
      </c>
      <c r="R664">
        <v>14</v>
      </c>
      <c r="U664">
        <v>20</v>
      </c>
      <c r="V664">
        <v>23</v>
      </c>
      <c r="W664">
        <v>24</v>
      </c>
    </row>
    <row r="665" spans="1:23">
      <c r="A665">
        <v>664</v>
      </c>
      <c r="B665" s="1">
        <v>45328</v>
      </c>
      <c r="C665" s="1">
        <v>45431</v>
      </c>
      <c r="D665" s="29">
        <f>Tailordata[[#This Row],[DueDate]]-Tailordata[[#This Row],[Date]]</f>
        <v>103</v>
      </c>
      <c r="E665" t="s">
        <v>27</v>
      </c>
      <c r="F665" t="s">
        <v>36</v>
      </c>
      <c r="G665">
        <v>450</v>
      </c>
      <c r="H665" t="s">
        <v>26</v>
      </c>
      <c r="I665">
        <v>20</v>
      </c>
      <c r="J665">
        <v>49</v>
      </c>
      <c r="K665">
        <v>23</v>
      </c>
      <c r="L665">
        <v>20</v>
      </c>
      <c r="N665">
        <v>41</v>
      </c>
      <c r="O665">
        <v>22</v>
      </c>
      <c r="P665">
        <v>16</v>
      </c>
    </row>
    <row r="666" spans="1:23">
      <c r="A666">
        <v>665</v>
      </c>
      <c r="B666" s="1">
        <v>45303</v>
      </c>
      <c r="C666" s="1">
        <v>45420</v>
      </c>
      <c r="D666" s="29">
        <f>Tailordata[[#This Row],[DueDate]]-Tailordata[[#This Row],[Date]]</f>
        <v>117</v>
      </c>
      <c r="E666" t="s">
        <v>29</v>
      </c>
      <c r="F666" t="s">
        <v>23</v>
      </c>
      <c r="G666">
        <v>498</v>
      </c>
      <c r="H666" t="s">
        <v>31</v>
      </c>
      <c r="O666">
        <v>20</v>
      </c>
      <c r="Q666">
        <v>14</v>
      </c>
      <c r="R666">
        <v>17</v>
      </c>
      <c r="S666">
        <v>24</v>
      </c>
      <c r="T666">
        <v>16</v>
      </c>
      <c r="U666">
        <v>24</v>
      </c>
    </row>
    <row r="667" spans="1:23">
      <c r="A667">
        <v>666</v>
      </c>
      <c r="B667" s="1">
        <v>45300</v>
      </c>
      <c r="C667" s="1">
        <v>45420</v>
      </c>
      <c r="D667" s="29">
        <f>Tailordata[[#This Row],[DueDate]]-Tailordata[[#This Row],[Date]]</f>
        <v>120</v>
      </c>
      <c r="E667" t="s">
        <v>33</v>
      </c>
      <c r="F667" t="s">
        <v>36</v>
      </c>
      <c r="G667">
        <v>325</v>
      </c>
      <c r="H667" t="s">
        <v>28</v>
      </c>
      <c r="I667">
        <v>23</v>
      </c>
      <c r="J667">
        <v>23</v>
      </c>
      <c r="K667">
        <v>14</v>
      </c>
      <c r="L667">
        <v>14</v>
      </c>
      <c r="M667">
        <v>20</v>
      </c>
      <c r="N667">
        <v>43</v>
      </c>
      <c r="O667">
        <v>22</v>
      </c>
      <c r="Q667">
        <v>14</v>
      </c>
      <c r="R667">
        <v>15</v>
      </c>
    </row>
    <row r="668" spans="1:23">
      <c r="A668">
        <v>667</v>
      </c>
      <c r="B668" s="1">
        <v>45353</v>
      </c>
      <c r="C668" s="1">
        <v>45418</v>
      </c>
      <c r="D668" s="29">
        <f>Tailordata[[#This Row],[DueDate]]-Tailordata[[#This Row],[Date]]</f>
        <v>65</v>
      </c>
      <c r="E668" t="s">
        <v>35</v>
      </c>
      <c r="F668" t="s">
        <v>32</v>
      </c>
      <c r="G668">
        <v>401</v>
      </c>
      <c r="H668" t="s">
        <v>24</v>
      </c>
      <c r="O668">
        <v>18</v>
      </c>
      <c r="P668">
        <v>15</v>
      </c>
      <c r="Q668">
        <v>24</v>
      </c>
      <c r="R668">
        <v>21</v>
      </c>
      <c r="U668">
        <v>24</v>
      </c>
      <c r="V668">
        <v>17</v>
      </c>
      <c r="W668">
        <v>23</v>
      </c>
    </row>
    <row r="669" spans="1:23">
      <c r="A669">
        <v>668</v>
      </c>
      <c r="B669" s="1">
        <v>45398</v>
      </c>
      <c r="C669" s="1">
        <v>45421</v>
      </c>
      <c r="D669" s="29">
        <f>Tailordata[[#This Row],[DueDate]]-Tailordata[[#This Row],[Date]]</f>
        <v>23</v>
      </c>
      <c r="E669" t="s">
        <v>35</v>
      </c>
      <c r="F669" t="s">
        <v>25</v>
      </c>
      <c r="G669">
        <v>333</v>
      </c>
      <c r="H669" t="s">
        <v>28</v>
      </c>
      <c r="O669">
        <v>17</v>
      </c>
      <c r="P669">
        <v>14</v>
      </c>
      <c r="Q669">
        <v>22</v>
      </c>
      <c r="R669">
        <v>22</v>
      </c>
      <c r="U669">
        <v>21</v>
      </c>
      <c r="V669">
        <v>21</v>
      </c>
      <c r="W669">
        <v>22</v>
      </c>
    </row>
    <row r="670" spans="1:23">
      <c r="A670">
        <v>669</v>
      </c>
      <c r="B670" s="1">
        <v>45403</v>
      </c>
      <c r="C670" s="1">
        <v>45422</v>
      </c>
      <c r="D670" s="29">
        <f>Tailordata[[#This Row],[DueDate]]-Tailordata[[#This Row],[Date]]</f>
        <v>19</v>
      </c>
      <c r="E670" t="s">
        <v>35</v>
      </c>
      <c r="F670" t="s">
        <v>25</v>
      </c>
      <c r="G670">
        <v>392</v>
      </c>
      <c r="H670" t="s">
        <v>26</v>
      </c>
      <c r="O670">
        <v>24</v>
      </c>
      <c r="P670">
        <v>18</v>
      </c>
      <c r="Q670">
        <v>21</v>
      </c>
      <c r="R670">
        <v>15</v>
      </c>
      <c r="U670">
        <v>21</v>
      </c>
      <c r="V670">
        <v>21</v>
      </c>
      <c r="W670">
        <v>14</v>
      </c>
    </row>
    <row r="671" spans="1:23">
      <c r="A671">
        <v>670</v>
      </c>
      <c r="B671" s="1">
        <v>45328</v>
      </c>
      <c r="C671" s="1">
        <v>45424</v>
      </c>
      <c r="D671" s="29">
        <f>Tailordata[[#This Row],[DueDate]]-Tailordata[[#This Row],[Date]]</f>
        <v>96</v>
      </c>
      <c r="E671" t="s">
        <v>35</v>
      </c>
      <c r="F671" t="s">
        <v>32</v>
      </c>
      <c r="G671">
        <v>251</v>
      </c>
      <c r="H671" t="s">
        <v>28</v>
      </c>
      <c r="O671">
        <v>16</v>
      </c>
      <c r="P671">
        <v>15</v>
      </c>
      <c r="Q671">
        <v>18</v>
      </c>
      <c r="R671">
        <v>23</v>
      </c>
      <c r="U671">
        <v>14</v>
      </c>
      <c r="V671">
        <v>17</v>
      </c>
      <c r="W671">
        <v>21</v>
      </c>
    </row>
    <row r="672" spans="1:23">
      <c r="A672">
        <v>671</v>
      </c>
      <c r="B672" s="1">
        <v>45341</v>
      </c>
      <c r="C672" s="1">
        <v>45428</v>
      </c>
      <c r="D672" s="29">
        <f>Tailordata[[#This Row],[DueDate]]-Tailordata[[#This Row],[Date]]</f>
        <v>87</v>
      </c>
      <c r="E672" t="s">
        <v>29</v>
      </c>
      <c r="F672" t="s">
        <v>30</v>
      </c>
      <c r="G672">
        <v>217</v>
      </c>
      <c r="H672" t="s">
        <v>31</v>
      </c>
      <c r="O672">
        <v>16</v>
      </c>
      <c r="Q672">
        <v>23</v>
      </c>
      <c r="R672">
        <v>16</v>
      </c>
      <c r="S672">
        <v>23</v>
      </c>
      <c r="T672">
        <v>20</v>
      </c>
      <c r="U672">
        <v>17</v>
      </c>
    </row>
    <row r="673" spans="1:23">
      <c r="A673">
        <v>672</v>
      </c>
      <c r="B673" s="1">
        <v>45362</v>
      </c>
      <c r="C673" s="1">
        <v>45435</v>
      </c>
      <c r="D673" s="29">
        <f>Tailordata[[#This Row],[DueDate]]-Tailordata[[#This Row],[Date]]</f>
        <v>73</v>
      </c>
      <c r="E673" t="s">
        <v>27</v>
      </c>
      <c r="F673" t="s">
        <v>30</v>
      </c>
      <c r="G673">
        <v>105</v>
      </c>
      <c r="H673" t="s">
        <v>24</v>
      </c>
      <c r="I673">
        <v>15</v>
      </c>
      <c r="J673">
        <v>24</v>
      </c>
      <c r="K673">
        <v>22</v>
      </c>
      <c r="L673">
        <v>22</v>
      </c>
      <c r="N673">
        <v>20</v>
      </c>
      <c r="O673">
        <v>23</v>
      </c>
      <c r="P673">
        <v>23</v>
      </c>
    </row>
    <row r="674" spans="1:23">
      <c r="A674">
        <v>673</v>
      </c>
      <c r="B674" s="1">
        <v>45354</v>
      </c>
      <c r="C674" s="1">
        <v>45423</v>
      </c>
      <c r="D674" s="29">
        <f>Tailordata[[#This Row],[DueDate]]-Tailordata[[#This Row],[Date]]</f>
        <v>69</v>
      </c>
      <c r="E674" t="s">
        <v>33</v>
      </c>
      <c r="F674" t="s">
        <v>30</v>
      </c>
      <c r="G674">
        <v>125</v>
      </c>
      <c r="H674" t="s">
        <v>24</v>
      </c>
      <c r="I674">
        <v>16</v>
      </c>
      <c r="J674">
        <v>28</v>
      </c>
      <c r="K674">
        <v>24</v>
      </c>
      <c r="L674">
        <v>19</v>
      </c>
      <c r="M674">
        <v>15</v>
      </c>
      <c r="N674">
        <v>37</v>
      </c>
      <c r="O674">
        <v>16</v>
      </c>
      <c r="Q674">
        <v>22</v>
      </c>
      <c r="R674">
        <v>23</v>
      </c>
    </row>
    <row r="675" spans="1:23">
      <c r="A675">
        <v>674</v>
      </c>
      <c r="B675" s="1">
        <v>45357</v>
      </c>
      <c r="C675" s="1">
        <v>45440</v>
      </c>
      <c r="D675" s="29">
        <f>Tailordata[[#This Row],[DueDate]]-Tailordata[[#This Row],[Date]]</f>
        <v>83</v>
      </c>
      <c r="E675" t="s">
        <v>22</v>
      </c>
      <c r="F675" t="s">
        <v>25</v>
      </c>
      <c r="G675">
        <v>500</v>
      </c>
      <c r="H675" t="s">
        <v>34</v>
      </c>
      <c r="I675">
        <v>23</v>
      </c>
      <c r="J675">
        <v>28</v>
      </c>
      <c r="K675">
        <v>22</v>
      </c>
      <c r="L675">
        <v>18</v>
      </c>
      <c r="M675">
        <v>22</v>
      </c>
    </row>
    <row r="676" spans="1:23">
      <c r="A676">
        <v>675</v>
      </c>
      <c r="B676" s="1">
        <v>45359</v>
      </c>
      <c r="C676" s="1">
        <v>45414</v>
      </c>
      <c r="D676" s="29">
        <f>Tailordata[[#This Row],[DueDate]]-Tailordata[[#This Row],[Date]]</f>
        <v>55</v>
      </c>
      <c r="E676" t="s">
        <v>22</v>
      </c>
      <c r="F676" t="s">
        <v>30</v>
      </c>
      <c r="G676">
        <v>88</v>
      </c>
      <c r="H676" t="s">
        <v>26</v>
      </c>
      <c r="I676">
        <v>17</v>
      </c>
      <c r="J676">
        <v>29</v>
      </c>
      <c r="K676">
        <v>24</v>
      </c>
      <c r="L676">
        <v>20</v>
      </c>
      <c r="M676">
        <v>17</v>
      </c>
    </row>
    <row r="677" spans="1:23">
      <c r="A677">
        <v>676</v>
      </c>
      <c r="B677" s="1">
        <v>45319</v>
      </c>
      <c r="C677" s="1">
        <v>45430</v>
      </c>
      <c r="D677" s="29">
        <f>Tailordata[[#This Row],[DueDate]]-Tailordata[[#This Row],[Date]]</f>
        <v>111</v>
      </c>
      <c r="E677" t="s">
        <v>35</v>
      </c>
      <c r="F677" t="s">
        <v>36</v>
      </c>
      <c r="G677">
        <v>333</v>
      </c>
      <c r="H677" t="s">
        <v>24</v>
      </c>
      <c r="O677">
        <v>19</v>
      </c>
      <c r="P677">
        <v>18</v>
      </c>
      <c r="Q677">
        <v>24</v>
      </c>
      <c r="R677">
        <v>20</v>
      </c>
      <c r="U677">
        <v>19</v>
      </c>
      <c r="V677">
        <v>15</v>
      </c>
      <c r="W677">
        <v>14</v>
      </c>
    </row>
    <row r="678" spans="1:23">
      <c r="A678">
        <v>677</v>
      </c>
      <c r="B678" s="1">
        <v>45346</v>
      </c>
      <c r="C678" s="1">
        <v>45430</v>
      </c>
      <c r="D678" s="29">
        <f>Tailordata[[#This Row],[DueDate]]-Tailordata[[#This Row],[Date]]</f>
        <v>84</v>
      </c>
      <c r="E678" t="s">
        <v>22</v>
      </c>
      <c r="F678" t="s">
        <v>36</v>
      </c>
      <c r="G678">
        <v>117</v>
      </c>
      <c r="H678" t="s">
        <v>34</v>
      </c>
      <c r="I678">
        <v>23</v>
      </c>
      <c r="J678">
        <v>39</v>
      </c>
      <c r="K678">
        <v>19</v>
      </c>
      <c r="L678">
        <v>20</v>
      </c>
      <c r="M678">
        <v>23</v>
      </c>
    </row>
    <row r="679" spans="1:23">
      <c r="A679">
        <v>678</v>
      </c>
      <c r="B679" s="1">
        <v>45397</v>
      </c>
      <c r="C679" s="1">
        <v>45432</v>
      </c>
      <c r="D679" s="29">
        <f>Tailordata[[#This Row],[DueDate]]-Tailordata[[#This Row],[Date]]</f>
        <v>35</v>
      </c>
      <c r="E679" t="s">
        <v>35</v>
      </c>
      <c r="F679" t="s">
        <v>23</v>
      </c>
      <c r="G679">
        <v>417</v>
      </c>
      <c r="H679" t="s">
        <v>28</v>
      </c>
      <c r="O679">
        <v>21</v>
      </c>
      <c r="P679">
        <v>15</v>
      </c>
      <c r="Q679">
        <v>17</v>
      </c>
      <c r="R679">
        <v>24</v>
      </c>
      <c r="U679">
        <v>20</v>
      </c>
      <c r="V679">
        <v>17</v>
      </c>
      <c r="W679">
        <v>18</v>
      </c>
    </row>
    <row r="680" spans="1:23">
      <c r="A680">
        <v>679</v>
      </c>
      <c r="B680" s="1">
        <v>45320</v>
      </c>
      <c r="C680" s="1">
        <v>45438</v>
      </c>
      <c r="D680" s="29">
        <f>Tailordata[[#This Row],[DueDate]]-Tailordata[[#This Row],[Date]]</f>
        <v>118</v>
      </c>
      <c r="E680" t="s">
        <v>27</v>
      </c>
      <c r="F680" t="s">
        <v>32</v>
      </c>
      <c r="G680">
        <v>187</v>
      </c>
      <c r="H680" t="s">
        <v>34</v>
      </c>
      <c r="I680">
        <v>21</v>
      </c>
      <c r="J680">
        <v>40</v>
      </c>
      <c r="K680">
        <v>14</v>
      </c>
      <c r="L680">
        <v>18</v>
      </c>
      <c r="N680">
        <v>30</v>
      </c>
      <c r="O680">
        <v>19</v>
      </c>
      <c r="P680">
        <v>16</v>
      </c>
    </row>
    <row r="681" spans="1:23">
      <c r="A681">
        <v>680</v>
      </c>
      <c r="B681" s="1">
        <v>45386</v>
      </c>
      <c r="C681" s="1">
        <v>45429</v>
      </c>
      <c r="D681" s="29">
        <f>Tailordata[[#This Row],[DueDate]]-Tailordata[[#This Row],[Date]]</f>
        <v>43</v>
      </c>
      <c r="E681" t="s">
        <v>29</v>
      </c>
      <c r="F681" t="s">
        <v>23</v>
      </c>
      <c r="G681">
        <v>500</v>
      </c>
      <c r="H681" t="s">
        <v>28</v>
      </c>
      <c r="O681">
        <v>16</v>
      </c>
      <c r="Q681">
        <v>14</v>
      </c>
      <c r="R681">
        <v>15</v>
      </c>
      <c r="S681">
        <v>16</v>
      </c>
      <c r="T681">
        <v>24</v>
      </c>
      <c r="U681">
        <v>19</v>
      </c>
    </row>
    <row r="682" spans="1:23">
      <c r="A682">
        <v>681</v>
      </c>
      <c r="B682" s="1">
        <v>45406</v>
      </c>
      <c r="C682" s="1">
        <v>45426</v>
      </c>
      <c r="D682" s="29">
        <f>Tailordata[[#This Row],[DueDate]]-Tailordata[[#This Row],[Date]]</f>
        <v>20</v>
      </c>
      <c r="E682" t="s">
        <v>27</v>
      </c>
      <c r="F682" t="s">
        <v>30</v>
      </c>
      <c r="G682">
        <v>318</v>
      </c>
      <c r="H682" t="s">
        <v>31</v>
      </c>
      <c r="I682">
        <v>23</v>
      </c>
      <c r="J682">
        <v>41</v>
      </c>
      <c r="K682">
        <v>19</v>
      </c>
      <c r="L682">
        <v>23</v>
      </c>
      <c r="N682">
        <v>31</v>
      </c>
      <c r="O682">
        <v>24</v>
      </c>
      <c r="P682">
        <v>22</v>
      </c>
    </row>
    <row r="683" spans="1:23">
      <c r="A683">
        <v>682</v>
      </c>
      <c r="B683" s="1">
        <v>45323</v>
      </c>
      <c r="C683" s="1">
        <v>45427</v>
      </c>
      <c r="D683" s="29">
        <f>Tailordata[[#This Row],[DueDate]]-Tailordata[[#This Row],[Date]]</f>
        <v>104</v>
      </c>
      <c r="E683" t="s">
        <v>29</v>
      </c>
      <c r="F683" t="s">
        <v>25</v>
      </c>
      <c r="G683">
        <v>150</v>
      </c>
      <c r="H683" t="s">
        <v>34</v>
      </c>
      <c r="O683">
        <v>22</v>
      </c>
      <c r="Q683">
        <v>19</v>
      </c>
      <c r="R683">
        <v>15</v>
      </c>
      <c r="S683">
        <v>21</v>
      </c>
      <c r="T683">
        <v>19</v>
      </c>
      <c r="U683">
        <v>17</v>
      </c>
    </row>
    <row r="684" spans="1:23">
      <c r="A684">
        <v>683</v>
      </c>
      <c r="B684" s="1">
        <v>45299</v>
      </c>
      <c r="C684" s="1">
        <v>45416</v>
      </c>
      <c r="D684" s="29">
        <f>Tailordata[[#This Row],[DueDate]]-Tailordata[[#This Row],[Date]]</f>
        <v>117</v>
      </c>
      <c r="E684" t="s">
        <v>29</v>
      </c>
      <c r="F684" t="s">
        <v>25</v>
      </c>
      <c r="G684">
        <v>187</v>
      </c>
      <c r="H684" t="s">
        <v>24</v>
      </c>
      <c r="O684">
        <v>20</v>
      </c>
      <c r="Q684">
        <v>24</v>
      </c>
      <c r="R684">
        <v>15</v>
      </c>
      <c r="S684">
        <v>24</v>
      </c>
      <c r="T684">
        <v>22</v>
      </c>
      <c r="U684">
        <v>16</v>
      </c>
    </row>
    <row r="685" spans="1:23">
      <c r="A685">
        <v>684</v>
      </c>
      <c r="B685" s="1">
        <v>45394</v>
      </c>
      <c r="C685" s="1">
        <v>45429</v>
      </c>
      <c r="D685" s="29">
        <f>Tailordata[[#This Row],[DueDate]]-Tailordata[[#This Row],[Date]]</f>
        <v>35</v>
      </c>
      <c r="E685" t="s">
        <v>35</v>
      </c>
      <c r="F685" t="s">
        <v>32</v>
      </c>
      <c r="G685">
        <v>419</v>
      </c>
      <c r="H685" t="s">
        <v>26</v>
      </c>
      <c r="O685">
        <v>14</v>
      </c>
      <c r="P685">
        <v>20</v>
      </c>
      <c r="Q685">
        <v>16</v>
      </c>
      <c r="R685">
        <v>15</v>
      </c>
      <c r="U685">
        <v>24</v>
      </c>
      <c r="V685">
        <v>20</v>
      </c>
      <c r="W685">
        <v>18</v>
      </c>
    </row>
    <row r="686" spans="1:23">
      <c r="A686">
        <v>685</v>
      </c>
      <c r="B686" s="1">
        <v>45401</v>
      </c>
      <c r="C686" s="1">
        <v>45419</v>
      </c>
      <c r="D686" s="29">
        <f>Tailordata[[#This Row],[DueDate]]-Tailordata[[#This Row],[Date]]</f>
        <v>18</v>
      </c>
      <c r="E686" t="s">
        <v>29</v>
      </c>
      <c r="F686" t="s">
        <v>32</v>
      </c>
      <c r="G686">
        <v>444</v>
      </c>
      <c r="H686" t="s">
        <v>28</v>
      </c>
      <c r="O686">
        <v>18</v>
      </c>
      <c r="Q686">
        <v>14</v>
      </c>
      <c r="R686">
        <v>21</v>
      </c>
      <c r="S686">
        <v>15</v>
      </c>
      <c r="T686">
        <v>17</v>
      </c>
      <c r="U686">
        <v>24</v>
      </c>
    </row>
    <row r="687" spans="1:23">
      <c r="A687">
        <v>686</v>
      </c>
      <c r="B687" s="1">
        <v>45312</v>
      </c>
      <c r="C687" s="1">
        <v>45424</v>
      </c>
      <c r="D687" s="29">
        <f>Tailordata[[#This Row],[DueDate]]-Tailordata[[#This Row],[Date]]</f>
        <v>112</v>
      </c>
      <c r="E687" t="s">
        <v>22</v>
      </c>
      <c r="F687" t="s">
        <v>36</v>
      </c>
      <c r="G687">
        <v>423</v>
      </c>
      <c r="H687" t="s">
        <v>24</v>
      </c>
      <c r="I687">
        <v>21</v>
      </c>
      <c r="J687">
        <v>34</v>
      </c>
      <c r="K687">
        <v>15</v>
      </c>
      <c r="L687">
        <v>20</v>
      </c>
      <c r="M687">
        <v>19</v>
      </c>
    </row>
    <row r="688" spans="1:23">
      <c r="A688">
        <v>687</v>
      </c>
      <c r="B688" s="1">
        <v>45369</v>
      </c>
      <c r="C688" s="1">
        <v>45416</v>
      </c>
      <c r="D688" s="29">
        <f>Tailordata[[#This Row],[DueDate]]-Tailordata[[#This Row],[Date]]</f>
        <v>47</v>
      </c>
      <c r="E688" t="s">
        <v>27</v>
      </c>
      <c r="F688" t="s">
        <v>30</v>
      </c>
      <c r="G688">
        <v>65</v>
      </c>
      <c r="H688" t="s">
        <v>24</v>
      </c>
      <c r="I688">
        <v>18</v>
      </c>
      <c r="J688">
        <v>33</v>
      </c>
      <c r="K688">
        <v>20</v>
      </c>
      <c r="L688">
        <v>24</v>
      </c>
      <c r="N688">
        <v>50</v>
      </c>
      <c r="O688">
        <v>22</v>
      </c>
      <c r="P688">
        <v>24</v>
      </c>
    </row>
    <row r="689" spans="1:23">
      <c r="A689">
        <v>688</v>
      </c>
      <c r="B689" s="1">
        <v>45394</v>
      </c>
      <c r="C689" s="1">
        <v>45411</v>
      </c>
      <c r="D689" s="29">
        <f>Tailordata[[#This Row],[DueDate]]-Tailordata[[#This Row],[Date]]</f>
        <v>17</v>
      </c>
      <c r="E689" t="s">
        <v>22</v>
      </c>
      <c r="F689" t="s">
        <v>32</v>
      </c>
      <c r="G689">
        <v>189</v>
      </c>
      <c r="H689" t="s">
        <v>34</v>
      </c>
      <c r="I689">
        <v>17</v>
      </c>
      <c r="J689">
        <v>46</v>
      </c>
      <c r="K689">
        <v>22</v>
      </c>
      <c r="L689">
        <v>23</v>
      </c>
      <c r="M689">
        <v>16</v>
      </c>
    </row>
    <row r="690" spans="1:23">
      <c r="A690">
        <v>689</v>
      </c>
      <c r="B690" s="1">
        <v>45333</v>
      </c>
      <c r="C690" s="1">
        <v>45427</v>
      </c>
      <c r="D690" s="29">
        <f>Tailordata[[#This Row],[DueDate]]-Tailordata[[#This Row],[Date]]</f>
        <v>94</v>
      </c>
      <c r="E690" t="s">
        <v>33</v>
      </c>
      <c r="F690" t="s">
        <v>32</v>
      </c>
      <c r="G690">
        <v>78</v>
      </c>
      <c r="H690" t="s">
        <v>28</v>
      </c>
      <c r="I690">
        <v>24</v>
      </c>
      <c r="J690">
        <v>49</v>
      </c>
      <c r="K690">
        <v>14</v>
      </c>
      <c r="L690">
        <v>21</v>
      </c>
      <c r="M690">
        <v>22</v>
      </c>
      <c r="N690">
        <v>25</v>
      </c>
      <c r="O690">
        <v>23</v>
      </c>
      <c r="Q690">
        <v>17</v>
      </c>
      <c r="R690">
        <v>19</v>
      </c>
    </row>
    <row r="691" spans="1:23">
      <c r="A691">
        <v>690</v>
      </c>
      <c r="B691" s="1">
        <v>45306</v>
      </c>
      <c r="C691" s="1">
        <v>45435</v>
      </c>
      <c r="D691" s="29">
        <f>Tailordata[[#This Row],[DueDate]]-Tailordata[[#This Row],[Date]]</f>
        <v>129</v>
      </c>
      <c r="E691" t="s">
        <v>35</v>
      </c>
      <c r="F691" t="s">
        <v>36</v>
      </c>
      <c r="G691">
        <v>411</v>
      </c>
      <c r="H691" t="s">
        <v>24</v>
      </c>
      <c r="O691">
        <v>14</v>
      </c>
      <c r="P691">
        <v>15</v>
      </c>
      <c r="Q691">
        <v>17</v>
      </c>
      <c r="R691">
        <v>16</v>
      </c>
      <c r="U691">
        <v>22</v>
      </c>
      <c r="V691">
        <v>24</v>
      </c>
      <c r="W691">
        <v>19</v>
      </c>
    </row>
    <row r="692" spans="1:23">
      <c r="A692">
        <v>691</v>
      </c>
      <c r="B692" s="1">
        <v>45362</v>
      </c>
      <c r="C692" s="1">
        <v>45427</v>
      </c>
      <c r="D692" s="29">
        <f>Tailordata[[#This Row],[DueDate]]-Tailordata[[#This Row],[Date]]</f>
        <v>65</v>
      </c>
      <c r="E692" t="s">
        <v>27</v>
      </c>
      <c r="F692" t="s">
        <v>23</v>
      </c>
      <c r="G692">
        <v>469</v>
      </c>
      <c r="H692" t="s">
        <v>28</v>
      </c>
      <c r="I692">
        <v>16</v>
      </c>
      <c r="J692">
        <v>27</v>
      </c>
      <c r="K692">
        <v>20</v>
      </c>
      <c r="L692">
        <v>19</v>
      </c>
      <c r="N692">
        <v>34</v>
      </c>
      <c r="O692">
        <v>19</v>
      </c>
      <c r="P692">
        <v>22</v>
      </c>
    </row>
    <row r="693" spans="1:23">
      <c r="A693">
        <v>692</v>
      </c>
      <c r="B693" s="1">
        <v>45379</v>
      </c>
      <c r="C693" s="1">
        <v>45428</v>
      </c>
      <c r="D693" s="29">
        <f>Tailordata[[#This Row],[DueDate]]-Tailordata[[#This Row],[Date]]</f>
        <v>49</v>
      </c>
      <c r="E693" t="s">
        <v>22</v>
      </c>
      <c r="F693" t="s">
        <v>30</v>
      </c>
      <c r="G693">
        <v>467</v>
      </c>
      <c r="H693" t="s">
        <v>34</v>
      </c>
      <c r="I693">
        <v>24</v>
      </c>
      <c r="J693">
        <v>34</v>
      </c>
      <c r="K693">
        <v>24</v>
      </c>
      <c r="L693">
        <v>16</v>
      </c>
      <c r="M693">
        <v>15</v>
      </c>
    </row>
    <row r="694" spans="1:23">
      <c r="A694">
        <v>693</v>
      </c>
      <c r="B694" s="1">
        <v>45340</v>
      </c>
      <c r="C694" s="1">
        <v>45430</v>
      </c>
      <c r="D694" s="29">
        <f>Tailordata[[#This Row],[DueDate]]-Tailordata[[#This Row],[Date]]</f>
        <v>90</v>
      </c>
      <c r="E694" t="s">
        <v>29</v>
      </c>
      <c r="F694" t="s">
        <v>30</v>
      </c>
      <c r="G694">
        <v>417</v>
      </c>
      <c r="H694" t="s">
        <v>34</v>
      </c>
      <c r="O694">
        <v>21</v>
      </c>
      <c r="Q694">
        <v>17</v>
      </c>
      <c r="R694">
        <v>20</v>
      </c>
      <c r="S694">
        <v>17</v>
      </c>
      <c r="T694">
        <v>22</v>
      </c>
      <c r="U694">
        <v>19</v>
      </c>
    </row>
    <row r="695" spans="1:23">
      <c r="A695">
        <v>694</v>
      </c>
      <c r="B695" s="1">
        <v>45401</v>
      </c>
      <c r="C695" s="1">
        <v>45439</v>
      </c>
      <c r="D695" s="29">
        <f>Tailordata[[#This Row],[DueDate]]-Tailordata[[#This Row],[Date]]</f>
        <v>38</v>
      </c>
      <c r="E695" t="s">
        <v>27</v>
      </c>
      <c r="F695" t="s">
        <v>32</v>
      </c>
      <c r="G695">
        <v>489</v>
      </c>
      <c r="H695" t="s">
        <v>26</v>
      </c>
      <c r="I695">
        <v>23</v>
      </c>
      <c r="J695">
        <v>29</v>
      </c>
      <c r="K695">
        <v>18</v>
      </c>
      <c r="L695">
        <v>14</v>
      </c>
      <c r="N695">
        <v>35</v>
      </c>
      <c r="O695">
        <v>20</v>
      </c>
      <c r="P695">
        <v>16</v>
      </c>
    </row>
    <row r="696" spans="1:23">
      <c r="A696">
        <v>695</v>
      </c>
      <c r="B696" s="1">
        <v>45358</v>
      </c>
      <c r="C696" s="1">
        <v>45413</v>
      </c>
      <c r="D696" s="29">
        <f>Tailordata[[#This Row],[DueDate]]-Tailordata[[#This Row],[Date]]</f>
        <v>55</v>
      </c>
      <c r="E696" t="s">
        <v>35</v>
      </c>
      <c r="F696" t="s">
        <v>30</v>
      </c>
      <c r="G696">
        <v>456</v>
      </c>
      <c r="H696" t="s">
        <v>28</v>
      </c>
      <c r="O696">
        <v>16</v>
      </c>
      <c r="P696">
        <v>22</v>
      </c>
      <c r="Q696">
        <v>17</v>
      </c>
      <c r="R696">
        <v>17</v>
      </c>
      <c r="U696">
        <v>20</v>
      </c>
      <c r="V696">
        <v>14</v>
      </c>
      <c r="W696">
        <v>24</v>
      </c>
    </row>
    <row r="697" spans="1:23">
      <c r="A697">
        <v>696</v>
      </c>
      <c r="B697" s="1">
        <v>45326</v>
      </c>
      <c r="C697" s="1">
        <v>45431</v>
      </c>
      <c r="D697" s="29">
        <f>Tailordata[[#This Row],[DueDate]]-Tailordata[[#This Row],[Date]]</f>
        <v>105</v>
      </c>
      <c r="E697" t="s">
        <v>27</v>
      </c>
      <c r="F697" t="s">
        <v>30</v>
      </c>
      <c r="G697">
        <v>72</v>
      </c>
      <c r="H697" t="s">
        <v>34</v>
      </c>
      <c r="I697">
        <v>20</v>
      </c>
      <c r="J697">
        <v>44</v>
      </c>
      <c r="K697">
        <v>22</v>
      </c>
      <c r="L697">
        <v>19</v>
      </c>
      <c r="N697">
        <v>28</v>
      </c>
      <c r="O697">
        <v>19</v>
      </c>
      <c r="P697">
        <v>22</v>
      </c>
    </row>
    <row r="698" spans="1:23">
      <c r="A698">
        <v>697</v>
      </c>
      <c r="B698" s="1">
        <v>45341</v>
      </c>
      <c r="C698" s="1">
        <v>45432</v>
      </c>
      <c r="D698" s="29">
        <f>Tailordata[[#This Row],[DueDate]]-Tailordata[[#This Row],[Date]]</f>
        <v>91</v>
      </c>
      <c r="E698" t="s">
        <v>22</v>
      </c>
      <c r="F698" t="s">
        <v>30</v>
      </c>
      <c r="G698">
        <v>324</v>
      </c>
      <c r="H698" t="s">
        <v>34</v>
      </c>
      <c r="I698">
        <v>14</v>
      </c>
      <c r="J698">
        <v>21</v>
      </c>
      <c r="K698">
        <v>23</v>
      </c>
      <c r="L698">
        <v>20</v>
      </c>
      <c r="M698">
        <v>21</v>
      </c>
    </row>
    <row r="699" spans="1:23">
      <c r="A699">
        <v>698</v>
      </c>
      <c r="B699" s="1">
        <v>45396</v>
      </c>
      <c r="C699" s="1">
        <v>45431</v>
      </c>
      <c r="D699" s="29">
        <f>Tailordata[[#This Row],[DueDate]]-Tailordata[[#This Row],[Date]]</f>
        <v>35</v>
      </c>
      <c r="E699" t="s">
        <v>33</v>
      </c>
      <c r="F699" t="s">
        <v>23</v>
      </c>
      <c r="G699">
        <v>432</v>
      </c>
      <c r="H699" t="s">
        <v>31</v>
      </c>
      <c r="I699">
        <v>23</v>
      </c>
      <c r="J699">
        <v>50</v>
      </c>
      <c r="K699">
        <v>22</v>
      </c>
      <c r="L699">
        <v>18</v>
      </c>
      <c r="M699">
        <v>23</v>
      </c>
      <c r="N699">
        <v>34</v>
      </c>
      <c r="O699">
        <v>17</v>
      </c>
      <c r="Q699">
        <v>21</v>
      </c>
      <c r="R699">
        <v>18</v>
      </c>
    </row>
    <row r="700" spans="1:23">
      <c r="A700">
        <v>699</v>
      </c>
      <c r="B700" s="1">
        <v>45383</v>
      </c>
      <c r="C700" s="1">
        <v>45432</v>
      </c>
      <c r="D700" s="29">
        <f>Tailordata[[#This Row],[DueDate]]-Tailordata[[#This Row],[Date]]</f>
        <v>49</v>
      </c>
      <c r="E700" t="s">
        <v>29</v>
      </c>
      <c r="F700" t="s">
        <v>32</v>
      </c>
      <c r="G700">
        <v>242</v>
      </c>
      <c r="H700" t="s">
        <v>26</v>
      </c>
      <c r="O700">
        <v>17</v>
      </c>
      <c r="Q700">
        <v>19</v>
      </c>
      <c r="R700">
        <v>24</v>
      </c>
      <c r="S700">
        <v>17</v>
      </c>
      <c r="T700">
        <v>22</v>
      </c>
      <c r="U700">
        <v>20</v>
      </c>
    </row>
    <row r="701" spans="1:23">
      <c r="A701">
        <v>700</v>
      </c>
      <c r="B701" s="1">
        <v>45324</v>
      </c>
      <c r="C701" s="1">
        <v>45411</v>
      </c>
      <c r="D701" s="29">
        <f>Tailordata[[#This Row],[DueDate]]-Tailordata[[#This Row],[Date]]</f>
        <v>87</v>
      </c>
      <c r="E701" t="s">
        <v>22</v>
      </c>
      <c r="F701" t="s">
        <v>23</v>
      </c>
      <c r="G701">
        <v>312</v>
      </c>
      <c r="H701" t="s">
        <v>24</v>
      </c>
      <c r="I701">
        <v>21</v>
      </c>
      <c r="J701">
        <v>41</v>
      </c>
      <c r="K701">
        <v>16</v>
      </c>
      <c r="L701">
        <v>16</v>
      </c>
      <c r="M701">
        <v>14</v>
      </c>
    </row>
    <row r="702" spans="1:23">
      <c r="A702">
        <v>701</v>
      </c>
      <c r="B702" s="1">
        <v>45392</v>
      </c>
      <c r="C702" s="1">
        <v>45424</v>
      </c>
      <c r="D702" s="29">
        <f>Tailordata[[#This Row],[DueDate]]-Tailordata[[#This Row],[Date]]</f>
        <v>32</v>
      </c>
      <c r="E702" t="s">
        <v>33</v>
      </c>
      <c r="F702" t="s">
        <v>25</v>
      </c>
      <c r="G702">
        <v>338</v>
      </c>
      <c r="H702" t="s">
        <v>31</v>
      </c>
      <c r="I702">
        <v>22</v>
      </c>
      <c r="J702">
        <v>45</v>
      </c>
      <c r="K702">
        <v>20</v>
      </c>
      <c r="L702">
        <v>18</v>
      </c>
      <c r="M702">
        <v>18</v>
      </c>
      <c r="N702">
        <v>43</v>
      </c>
      <c r="O702">
        <v>19</v>
      </c>
      <c r="Q702">
        <v>20</v>
      </c>
      <c r="R702">
        <v>23</v>
      </c>
    </row>
    <row r="703" spans="1:23">
      <c r="A703">
        <v>702</v>
      </c>
      <c r="B703" s="1">
        <v>45405</v>
      </c>
      <c r="C703" s="1">
        <v>45432</v>
      </c>
      <c r="D703" s="29">
        <f>Tailordata[[#This Row],[DueDate]]-Tailordata[[#This Row],[Date]]</f>
        <v>27</v>
      </c>
      <c r="E703" t="s">
        <v>33</v>
      </c>
      <c r="F703" t="s">
        <v>25</v>
      </c>
      <c r="G703">
        <v>420</v>
      </c>
      <c r="H703" t="s">
        <v>26</v>
      </c>
      <c r="I703">
        <v>20</v>
      </c>
      <c r="J703">
        <v>44</v>
      </c>
      <c r="K703">
        <v>16</v>
      </c>
      <c r="L703">
        <v>19</v>
      </c>
      <c r="M703">
        <v>22</v>
      </c>
      <c r="N703">
        <v>40</v>
      </c>
      <c r="O703">
        <v>22</v>
      </c>
      <c r="Q703">
        <v>24</v>
      </c>
      <c r="R703">
        <v>23</v>
      </c>
    </row>
    <row r="704" spans="1:23">
      <c r="A704">
        <v>703</v>
      </c>
      <c r="B704" s="1">
        <v>45315</v>
      </c>
      <c r="C704" s="1">
        <v>45415</v>
      </c>
      <c r="D704" s="29">
        <f>Tailordata[[#This Row],[DueDate]]-Tailordata[[#This Row],[Date]]</f>
        <v>100</v>
      </c>
      <c r="E704" t="s">
        <v>29</v>
      </c>
      <c r="F704" t="s">
        <v>25</v>
      </c>
      <c r="G704">
        <v>135</v>
      </c>
      <c r="H704" t="s">
        <v>28</v>
      </c>
      <c r="O704">
        <v>18</v>
      </c>
      <c r="Q704">
        <v>20</v>
      </c>
      <c r="R704">
        <v>16</v>
      </c>
      <c r="S704">
        <v>22</v>
      </c>
      <c r="T704">
        <v>23</v>
      </c>
      <c r="U704">
        <v>16</v>
      </c>
    </row>
    <row r="705" spans="1:23">
      <c r="A705">
        <v>704</v>
      </c>
      <c r="B705" s="1">
        <v>45307</v>
      </c>
      <c r="C705" s="1">
        <v>45413</v>
      </c>
      <c r="D705" s="29">
        <f>Tailordata[[#This Row],[DueDate]]-Tailordata[[#This Row],[Date]]</f>
        <v>106</v>
      </c>
      <c r="E705" t="s">
        <v>27</v>
      </c>
      <c r="F705" t="s">
        <v>32</v>
      </c>
      <c r="G705">
        <v>373</v>
      </c>
      <c r="H705" t="s">
        <v>31</v>
      </c>
      <c r="I705">
        <v>23</v>
      </c>
      <c r="J705">
        <v>50</v>
      </c>
      <c r="K705">
        <v>18</v>
      </c>
      <c r="L705">
        <v>14</v>
      </c>
      <c r="N705">
        <v>20</v>
      </c>
      <c r="O705">
        <v>17</v>
      </c>
      <c r="P705">
        <v>23</v>
      </c>
    </row>
    <row r="706" spans="1:23">
      <c r="A706">
        <v>705</v>
      </c>
      <c r="B706" s="1">
        <v>45393</v>
      </c>
      <c r="C706" s="1">
        <v>45434</v>
      </c>
      <c r="D706" s="29">
        <f>Tailordata[[#This Row],[DueDate]]-Tailordata[[#This Row],[Date]]</f>
        <v>41</v>
      </c>
      <c r="E706" t="s">
        <v>35</v>
      </c>
      <c r="F706" t="s">
        <v>23</v>
      </c>
      <c r="G706">
        <v>348</v>
      </c>
      <c r="H706" t="s">
        <v>34</v>
      </c>
      <c r="O706">
        <v>22</v>
      </c>
      <c r="P706">
        <v>24</v>
      </c>
      <c r="Q706">
        <v>22</v>
      </c>
      <c r="R706">
        <v>19</v>
      </c>
      <c r="U706">
        <v>15</v>
      </c>
      <c r="V706">
        <v>24</v>
      </c>
      <c r="W706">
        <v>23</v>
      </c>
    </row>
    <row r="707" spans="1:23">
      <c r="A707">
        <v>706</v>
      </c>
      <c r="B707" s="1">
        <v>45366</v>
      </c>
      <c r="C707" s="1">
        <v>45426</v>
      </c>
      <c r="D707" s="29">
        <f>Tailordata[[#This Row],[DueDate]]-Tailordata[[#This Row],[Date]]</f>
        <v>60</v>
      </c>
      <c r="E707" t="s">
        <v>35</v>
      </c>
      <c r="F707" t="s">
        <v>30</v>
      </c>
      <c r="G707">
        <v>188</v>
      </c>
      <c r="H707" t="s">
        <v>28</v>
      </c>
      <c r="O707">
        <v>23</v>
      </c>
      <c r="P707">
        <v>22</v>
      </c>
      <c r="Q707">
        <v>14</v>
      </c>
      <c r="R707">
        <v>19</v>
      </c>
      <c r="U707">
        <v>23</v>
      </c>
      <c r="V707">
        <v>20</v>
      </c>
      <c r="W707">
        <v>19</v>
      </c>
    </row>
    <row r="708" spans="1:23">
      <c r="A708">
        <v>707</v>
      </c>
      <c r="B708" s="1">
        <v>45397</v>
      </c>
      <c r="C708" s="1">
        <v>45421</v>
      </c>
      <c r="D708" s="29">
        <f>Tailordata[[#This Row],[DueDate]]-Tailordata[[#This Row],[Date]]</f>
        <v>24</v>
      </c>
      <c r="E708" t="s">
        <v>35</v>
      </c>
      <c r="F708" t="s">
        <v>36</v>
      </c>
      <c r="G708">
        <v>269</v>
      </c>
      <c r="H708" t="s">
        <v>28</v>
      </c>
      <c r="O708">
        <v>14</v>
      </c>
      <c r="P708">
        <v>17</v>
      </c>
      <c r="Q708">
        <v>18</v>
      </c>
      <c r="R708">
        <v>24</v>
      </c>
      <c r="U708">
        <v>16</v>
      </c>
      <c r="V708">
        <v>16</v>
      </c>
      <c r="W708">
        <v>20</v>
      </c>
    </row>
    <row r="709" spans="1:23">
      <c r="A709">
        <v>708</v>
      </c>
      <c r="B709" s="1">
        <v>45310</v>
      </c>
      <c r="C709" s="1">
        <v>45418</v>
      </c>
      <c r="D709" s="29">
        <f>Tailordata[[#This Row],[DueDate]]-Tailordata[[#This Row],[Date]]</f>
        <v>108</v>
      </c>
      <c r="E709" t="s">
        <v>27</v>
      </c>
      <c r="F709" t="s">
        <v>25</v>
      </c>
      <c r="G709">
        <v>376</v>
      </c>
      <c r="H709" t="s">
        <v>28</v>
      </c>
      <c r="I709">
        <v>15</v>
      </c>
      <c r="J709">
        <v>50</v>
      </c>
      <c r="K709">
        <v>18</v>
      </c>
      <c r="L709">
        <v>19</v>
      </c>
      <c r="N709">
        <v>29</v>
      </c>
      <c r="O709">
        <v>18</v>
      </c>
      <c r="P709">
        <v>17</v>
      </c>
    </row>
    <row r="710" spans="1:23">
      <c r="A710">
        <v>709</v>
      </c>
      <c r="B710" s="1">
        <v>45401</v>
      </c>
      <c r="C710" s="1">
        <v>45423</v>
      </c>
      <c r="D710" s="29">
        <f>Tailordata[[#This Row],[DueDate]]-Tailordata[[#This Row],[Date]]</f>
        <v>22</v>
      </c>
      <c r="E710" t="s">
        <v>29</v>
      </c>
      <c r="F710" t="s">
        <v>32</v>
      </c>
      <c r="G710">
        <v>148</v>
      </c>
      <c r="H710" t="s">
        <v>28</v>
      </c>
      <c r="O710">
        <v>21</v>
      </c>
      <c r="Q710">
        <v>23</v>
      </c>
      <c r="R710">
        <v>20</v>
      </c>
      <c r="S710">
        <v>24</v>
      </c>
      <c r="T710">
        <v>23</v>
      </c>
      <c r="U710">
        <v>18</v>
      </c>
    </row>
    <row r="711" spans="1:23">
      <c r="A711">
        <v>710</v>
      </c>
      <c r="B711" s="1">
        <v>45356</v>
      </c>
      <c r="C711" s="1">
        <v>45431</v>
      </c>
      <c r="D711" s="29">
        <f>Tailordata[[#This Row],[DueDate]]-Tailordata[[#This Row],[Date]]</f>
        <v>75</v>
      </c>
      <c r="E711" t="s">
        <v>35</v>
      </c>
      <c r="F711" t="s">
        <v>36</v>
      </c>
      <c r="G711">
        <v>112</v>
      </c>
      <c r="H711" t="s">
        <v>24</v>
      </c>
      <c r="O711">
        <v>22</v>
      </c>
      <c r="P711">
        <v>19</v>
      </c>
      <c r="Q711">
        <v>22</v>
      </c>
      <c r="R711">
        <v>23</v>
      </c>
      <c r="U711">
        <v>20</v>
      </c>
      <c r="V711">
        <v>17</v>
      </c>
      <c r="W711">
        <v>23</v>
      </c>
    </row>
    <row r="712" spans="1:23">
      <c r="A712">
        <v>711</v>
      </c>
      <c r="B712" s="1">
        <v>45387</v>
      </c>
      <c r="C712" s="1">
        <v>45428</v>
      </c>
      <c r="D712" s="29">
        <f>Tailordata[[#This Row],[DueDate]]-Tailordata[[#This Row],[Date]]</f>
        <v>41</v>
      </c>
      <c r="E712" t="s">
        <v>33</v>
      </c>
      <c r="F712" t="s">
        <v>25</v>
      </c>
      <c r="G712">
        <v>323</v>
      </c>
      <c r="H712" t="s">
        <v>28</v>
      </c>
      <c r="I712">
        <v>20</v>
      </c>
      <c r="J712">
        <v>34</v>
      </c>
      <c r="K712">
        <v>15</v>
      </c>
      <c r="L712">
        <v>15</v>
      </c>
      <c r="M712">
        <v>16</v>
      </c>
      <c r="N712">
        <v>44</v>
      </c>
      <c r="O712">
        <v>20</v>
      </c>
      <c r="Q712">
        <v>14</v>
      </c>
      <c r="R712">
        <v>20</v>
      </c>
    </row>
    <row r="713" spans="1:23">
      <c r="A713">
        <v>712</v>
      </c>
      <c r="B713" s="1">
        <v>45320</v>
      </c>
      <c r="C713" s="1">
        <v>45420</v>
      </c>
      <c r="D713" s="29">
        <f>Tailordata[[#This Row],[DueDate]]-Tailordata[[#This Row],[Date]]</f>
        <v>100</v>
      </c>
      <c r="E713" t="s">
        <v>35</v>
      </c>
      <c r="F713" t="s">
        <v>36</v>
      </c>
      <c r="G713">
        <v>118</v>
      </c>
      <c r="H713" t="s">
        <v>34</v>
      </c>
      <c r="O713">
        <v>22</v>
      </c>
      <c r="P713">
        <v>18</v>
      </c>
      <c r="Q713">
        <v>24</v>
      </c>
      <c r="R713">
        <v>16</v>
      </c>
      <c r="U713">
        <v>21</v>
      </c>
      <c r="V713">
        <v>21</v>
      </c>
      <c r="W713">
        <v>22</v>
      </c>
    </row>
    <row r="714" spans="1:23">
      <c r="A714">
        <v>713</v>
      </c>
      <c r="B714" s="1">
        <v>45381</v>
      </c>
      <c r="C714" s="1">
        <v>45418</v>
      </c>
      <c r="D714" s="29">
        <f>Tailordata[[#This Row],[DueDate]]-Tailordata[[#This Row],[Date]]</f>
        <v>37</v>
      </c>
      <c r="E714" t="s">
        <v>27</v>
      </c>
      <c r="F714" t="s">
        <v>25</v>
      </c>
      <c r="G714">
        <v>392</v>
      </c>
      <c r="H714" t="s">
        <v>24</v>
      </c>
      <c r="I714">
        <v>21</v>
      </c>
      <c r="J714">
        <v>39</v>
      </c>
      <c r="K714">
        <v>24</v>
      </c>
      <c r="L714">
        <v>20</v>
      </c>
      <c r="N714">
        <v>44</v>
      </c>
      <c r="O714">
        <v>14</v>
      </c>
      <c r="P714">
        <v>24</v>
      </c>
    </row>
    <row r="715" spans="1:23">
      <c r="A715">
        <v>714</v>
      </c>
      <c r="B715" s="1">
        <v>45359</v>
      </c>
      <c r="C715" s="1">
        <v>45434</v>
      </c>
      <c r="D715" s="29">
        <f>Tailordata[[#This Row],[DueDate]]-Tailordata[[#This Row],[Date]]</f>
        <v>75</v>
      </c>
      <c r="E715" t="s">
        <v>22</v>
      </c>
      <c r="F715" t="s">
        <v>30</v>
      </c>
      <c r="G715">
        <v>106</v>
      </c>
      <c r="H715" t="s">
        <v>26</v>
      </c>
      <c r="I715">
        <v>18</v>
      </c>
      <c r="J715">
        <v>46</v>
      </c>
      <c r="K715">
        <v>20</v>
      </c>
      <c r="L715">
        <v>23</v>
      </c>
      <c r="M715">
        <v>17</v>
      </c>
    </row>
    <row r="716" spans="1:23">
      <c r="A716">
        <v>715</v>
      </c>
      <c r="B716" s="1">
        <v>45326</v>
      </c>
      <c r="C716" s="1">
        <v>45433</v>
      </c>
      <c r="D716" s="29">
        <f>Tailordata[[#This Row],[DueDate]]-Tailordata[[#This Row],[Date]]</f>
        <v>107</v>
      </c>
      <c r="E716" t="s">
        <v>29</v>
      </c>
      <c r="F716" t="s">
        <v>32</v>
      </c>
      <c r="G716">
        <v>223</v>
      </c>
      <c r="H716" t="s">
        <v>31</v>
      </c>
      <c r="O716">
        <v>14</v>
      </c>
      <c r="Q716">
        <v>19</v>
      </c>
      <c r="R716">
        <v>22</v>
      </c>
      <c r="S716">
        <v>15</v>
      </c>
      <c r="T716">
        <v>24</v>
      </c>
      <c r="U716">
        <v>15</v>
      </c>
    </row>
    <row r="717" spans="1:23">
      <c r="A717">
        <v>716</v>
      </c>
      <c r="B717" s="1">
        <v>45306</v>
      </c>
      <c r="C717" s="1">
        <v>45438</v>
      </c>
      <c r="D717" s="29">
        <f>Tailordata[[#This Row],[DueDate]]-Tailordata[[#This Row],[Date]]</f>
        <v>132</v>
      </c>
      <c r="E717" t="s">
        <v>22</v>
      </c>
      <c r="F717" t="s">
        <v>32</v>
      </c>
      <c r="G717">
        <v>152</v>
      </c>
      <c r="H717" t="s">
        <v>26</v>
      </c>
      <c r="I717">
        <v>21</v>
      </c>
      <c r="J717">
        <v>36</v>
      </c>
      <c r="K717">
        <v>24</v>
      </c>
      <c r="L717">
        <v>16</v>
      </c>
      <c r="M717">
        <v>17</v>
      </c>
    </row>
    <row r="718" spans="1:23">
      <c r="A718">
        <v>717</v>
      </c>
      <c r="B718" s="1">
        <v>45308</v>
      </c>
      <c r="C718" s="1">
        <v>45428</v>
      </c>
      <c r="D718" s="29">
        <f>Tailordata[[#This Row],[DueDate]]-Tailordata[[#This Row],[Date]]</f>
        <v>120</v>
      </c>
      <c r="E718" t="s">
        <v>35</v>
      </c>
      <c r="F718" t="s">
        <v>30</v>
      </c>
      <c r="G718">
        <v>159</v>
      </c>
      <c r="H718" t="s">
        <v>28</v>
      </c>
      <c r="O718">
        <v>20</v>
      </c>
      <c r="P718">
        <v>23</v>
      </c>
      <c r="Q718">
        <v>22</v>
      </c>
      <c r="R718">
        <v>22</v>
      </c>
      <c r="U718">
        <v>19</v>
      </c>
      <c r="V718">
        <v>23</v>
      </c>
      <c r="W718">
        <v>23</v>
      </c>
    </row>
    <row r="719" spans="1:23">
      <c r="A719">
        <v>718</v>
      </c>
      <c r="B719" s="1">
        <v>45394</v>
      </c>
      <c r="C719" s="1">
        <v>45438</v>
      </c>
      <c r="D719" s="29">
        <f>Tailordata[[#This Row],[DueDate]]-Tailordata[[#This Row],[Date]]</f>
        <v>44</v>
      </c>
      <c r="E719" t="s">
        <v>27</v>
      </c>
      <c r="F719" t="s">
        <v>32</v>
      </c>
      <c r="G719">
        <v>492</v>
      </c>
      <c r="H719" t="s">
        <v>24</v>
      </c>
      <c r="I719">
        <v>18</v>
      </c>
      <c r="J719">
        <v>49</v>
      </c>
      <c r="K719">
        <v>17</v>
      </c>
      <c r="L719">
        <v>21</v>
      </c>
      <c r="N719">
        <v>37</v>
      </c>
      <c r="O719">
        <v>20</v>
      </c>
      <c r="P719">
        <v>23</v>
      </c>
    </row>
    <row r="720" spans="1:23">
      <c r="A720">
        <v>719</v>
      </c>
      <c r="B720" s="1">
        <v>45396</v>
      </c>
      <c r="C720" s="1">
        <v>45416</v>
      </c>
      <c r="D720" s="29">
        <f>Tailordata[[#This Row],[DueDate]]-Tailordata[[#This Row],[Date]]</f>
        <v>20</v>
      </c>
      <c r="E720" t="s">
        <v>22</v>
      </c>
      <c r="F720" t="s">
        <v>32</v>
      </c>
      <c r="G720">
        <v>145</v>
      </c>
      <c r="H720" t="s">
        <v>34</v>
      </c>
      <c r="I720">
        <v>23</v>
      </c>
      <c r="J720">
        <v>44</v>
      </c>
      <c r="K720">
        <v>20</v>
      </c>
      <c r="L720">
        <v>20</v>
      </c>
      <c r="M720">
        <v>20</v>
      </c>
    </row>
    <row r="721" spans="1:23">
      <c r="A721">
        <v>720</v>
      </c>
      <c r="B721" s="1">
        <v>45296</v>
      </c>
      <c r="C721" s="1">
        <v>45426</v>
      </c>
      <c r="D721" s="29">
        <f>Tailordata[[#This Row],[DueDate]]-Tailordata[[#This Row],[Date]]</f>
        <v>130</v>
      </c>
      <c r="E721" t="s">
        <v>27</v>
      </c>
      <c r="F721" t="s">
        <v>23</v>
      </c>
      <c r="G721">
        <v>448</v>
      </c>
      <c r="H721" t="s">
        <v>34</v>
      </c>
      <c r="I721">
        <v>19</v>
      </c>
      <c r="J721">
        <v>49</v>
      </c>
      <c r="K721">
        <v>15</v>
      </c>
      <c r="L721">
        <v>15</v>
      </c>
      <c r="N721">
        <v>24</v>
      </c>
      <c r="O721">
        <v>16</v>
      </c>
      <c r="P721">
        <v>22</v>
      </c>
    </row>
    <row r="722" spans="1:23">
      <c r="A722">
        <v>721</v>
      </c>
      <c r="B722" s="1">
        <v>45394</v>
      </c>
      <c r="C722" s="1">
        <v>45440</v>
      </c>
      <c r="D722" s="29">
        <f>Tailordata[[#This Row],[DueDate]]-Tailordata[[#This Row],[Date]]</f>
        <v>46</v>
      </c>
      <c r="E722" t="s">
        <v>22</v>
      </c>
      <c r="F722" t="s">
        <v>30</v>
      </c>
      <c r="G722">
        <v>154</v>
      </c>
      <c r="H722" t="s">
        <v>26</v>
      </c>
      <c r="I722">
        <v>20</v>
      </c>
      <c r="J722">
        <v>21</v>
      </c>
      <c r="K722">
        <v>24</v>
      </c>
      <c r="L722">
        <v>19</v>
      </c>
      <c r="M722">
        <v>23</v>
      </c>
    </row>
    <row r="723" spans="1:23">
      <c r="A723">
        <v>722</v>
      </c>
      <c r="B723" s="1">
        <v>45379</v>
      </c>
      <c r="C723" s="1">
        <v>45427</v>
      </c>
      <c r="D723" s="29">
        <f>Tailordata[[#This Row],[DueDate]]-Tailordata[[#This Row],[Date]]</f>
        <v>48</v>
      </c>
      <c r="E723" t="s">
        <v>33</v>
      </c>
      <c r="F723" t="s">
        <v>30</v>
      </c>
      <c r="G723">
        <v>52</v>
      </c>
      <c r="H723" t="s">
        <v>28</v>
      </c>
      <c r="I723">
        <v>14</v>
      </c>
      <c r="J723">
        <v>45</v>
      </c>
      <c r="K723">
        <v>22</v>
      </c>
      <c r="L723">
        <v>20</v>
      </c>
      <c r="M723">
        <v>16</v>
      </c>
      <c r="N723">
        <v>30</v>
      </c>
      <c r="O723">
        <v>18</v>
      </c>
      <c r="Q723">
        <v>19</v>
      </c>
      <c r="R723">
        <v>23</v>
      </c>
    </row>
    <row r="724" spans="1:23">
      <c r="A724">
        <v>723</v>
      </c>
      <c r="B724" s="1">
        <v>45329</v>
      </c>
      <c r="C724" s="1">
        <v>45436</v>
      </c>
      <c r="D724" s="29">
        <f>Tailordata[[#This Row],[DueDate]]-Tailordata[[#This Row],[Date]]</f>
        <v>107</v>
      </c>
      <c r="E724" t="s">
        <v>35</v>
      </c>
      <c r="F724" t="s">
        <v>32</v>
      </c>
      <c r="G724">
        <v>297</v>
      </c>
      <c r="H724" t="s">
        <v>31</v>
      </c>
      <c r="O724">
        <v>19</v>
      </c>
      <c r="P724">
        <v>16</v>
      </c>
      <c r="Q724">
        <v>23</v>
      </c>
      <c r="R724">
        <v>15</v>
      </c>
      <c r="U724">
        <v>22</v>
      </c>
      <c r="V724">
        <v>23</v>
      </c>
      <c r="W724">
        <v>14</v>
      </c>
    </row>
    <row r="725" spans="1:23">
      <c r="A725">
        <v>724</v>
      </c>
      <c r="B725" s="1">
        <v>45400</v>
      </c>
      <c r="C725" s="1">
        <v>45428</v>
      </c>
      <c r="D725" s="29">
        <f>Tailordata[[#This Row],[DueDate]]-Tailordata[[#This Row],[Date]]</f>
        <v>28</v>
      </c>
      <c r="E725" t="s">
        <v>27</v>
      </c>
      <c r="F725" t="s">
        <v>32</v>
      </c>
      <c r="G725">
        <v>195</v>
      </c>
      <c r="H725" t="s">
        <v>28</v>
      </c>
      <c r="I725">
        <v>15</v>
      </c>
      <c r="J725">
        <v>46</v>
      </c>
      <c r="K725">
        <v>23</v>
      </c>
      <c r="L725">
        <v>22</v>
      </c>
      <c r="N725">
        <v>30</v>
      </c>
      <c r="O725">
        <v>16</v>
      </c>
      <c r="P725">
        <v>20</v>
      </c>
    </row>
    <row r="726" spans="1:23">
      <c r="A726">
        <v>725</v>
      </c>
      <c r="B726" s="1">
        <v>45385</v>
      </c>
      <c r="C726" s="1">
        <v>45428</v>
      </c>
      <c r="D726" s="29">
        <f>Tailordata[[#This Row],[DueDate]]-Tailordata[[#This Row],[Date]]</f>
        <v>43</v>
      </c>
      <c r="E726" t="s">
        <v>27</v>
      </c>
      <c r="F726" t="s">
        <v>36</v>
      </c>
      <c r="G726">
        <v>51</v>
      </c>
      <c r="H726" t="s">
        <v>24</v>
      </c>
      <c r="I726">
        <v>16</v>
      </c>
      <c r="J726">
        <v>26</v>
      </c>
      <c r="K726">
        <v>21</v>
      </c>
      <c r="L726">
        <v>21</v>
      </c>
      <c r="N726">
        <v>43</v>
      </c>
      <c r="O726">
        <v>18</v>
      </c>
      <c r="P726">
        <v>24</v>
      </c>
    </row>
    <row r="727" spans="1:23">
      <c r="A727">
        <v>726</v>
      </c>
      <c r="B727" s="1">
        <v>45352</v>
      </c>
      <c r="C727" s="1">
        <v>45431</v>
      </c>
      <c r="D727" s="29">
        <f>Tailordata[[#This Row],[DueDate]]-Tailordata[[#This Row],[Date]]</f>
        <v>79</v>
      </c>
      <c r="E727" t="s">
        <v>35</v>
      </c>
      <c r="F727" t="s">
        <v>36</v>
      </c>
      <c r="G727">
        <v>139</v>
      </c>
      <c r="H727" t="s">
        <v>31</v>
      </c>
      <c r="O727">
        <v>21</v>
      </c>
      <c r="P727">
        <v>18</v>
      </c>
      <c r="Q727">
        <v>21</v>
      </c>
      <c r="R727">
        <v>21</v>
      </c>
      <c r="U727">
        <v>15</v>
      </c>
      <c r="V727">
        <v>22</v>
      </c>
      <c r="W727">
        <v>18</v>
      </c>
    </row>
    <row r="728" spans="1:23">
      <c r="A728">
        <v>727</v>
      </c>
      <c r="B728" s="1">
        <v>45320</v>
      </c>
      <c r="C728" s="1">
        <v>45425</v>
      </c>
      <c r="D728" s="29">
        <f>Tailordata[[#This Row],[DueDate]]-Tailordata[[#This Row],[Date]]</f>
        <v>105</v>
      </c>
      <c r="E728" t="s">
        <v>33</v>
      </c>
      <c r="F728" t="s">
        <v>36</v>
      </c>
      <c r="G728">
        <v>266</v>
      </c>
      <c r="H728" t="s">
        <v>26</v>
      </c>
      <c r="I728">
        <v>15</v>
      </c>
      <c r="J728">
        <v>41</v>
      </c>
      <c r="K728">
        <v>20</v>
      </c>
      <c r="L728">
        <v>21</v>
      </c>
      <c r="M728">
        <v>14</v>
      </c>
      <c r="N728">
        <v>44</v>
      </c>
      <c r="O728">
        <v>21</v>
      </c>
      <c r="Q728">
        <v>23</v>
      </c>
      <c r="R728">
        <v>17</v>
      </c>
    </row>
    <row r="729" spans="1:23">
      <c r="A729">
        <v>728</v>
      </c>
      <c r="B729" s="1">
        <v>45348</v>
      </c>
      <c r="C729" s="1">
        <v>45423</v>
      </c>
      <c r="D729" s="29">
        <f>Tailordata[[#This Row],[DueDate]]-Tailordata[[#This Row],[Date]]</f>
        <v>75</v>
      </c>
      <c r="E729" t="s">
        <v>35</v>
      </c>
      <c r="F729" t="s">
        <v>32</v>
      </c>
      <c r="G729">
        <v>421</v>
      </c>
      <c r="H729" t="s">
        <v>31</v>
      </c>
      <c r="O729">
        <v>18</v>
      </c>
      <c r="P729">
        <v>14</v>
      </c>
      <c r="Q729">
        <v>21</v>
      </c>
      <c r="R729">
        <v>18</v>
      </c>
      <c r="U729">
        <v>17</v>
      </c>
      <c r="V729">
        <v>20</v>
      </c>
      <c r="W729">
        <v>18</v>
      </c>
    </row>
    <row r="730" spans="1:23">
      <c r="A730">
        <v>729</v>
      </c>
      <c r="B730" s="1">
        <v>45346</v>
      </c>
      <c r="C730" s="1">
        <v>45436</v>
      </c>
      <c r="D730" s="29">
        <f>Tailordata[[#This Row],[DueDate]]-Tailordata[[#This Row],[Date]]</f>
        <v>90</v>
      </c>
      <c r="E730" t="s">
        <v>35</v>
      </c>
      <c r="F730" t="s">
        <v>30</v>
      </c>
      <c r="G730">
        <v>261</v>
      </c>
      <c r="H730" t="s">
        <v>28</v>
      </c>
      <c r="O730">
        <v>19</v>
      </c>
      <c r="P730">
        <v>23</v>
      </c>
      <c r="Q730">
        <v>19</v>
      </c>
      <c r="R730">
        <v>16</v>
      </c>
      <c r="U730">
        <v>22</v>
      </c>
      <c r="V730">
        <v>21</v>
      </c>
      <c r="W730">
        <v>22</v>
      </c>
    </row>
    <row r="731" spans="1:23">
      <c r="A731">
        <v>730</v>
      </c>
      <c r="B731" s="1">
        <v>45320</v>
      </c>
      <c r="C731" s="1">
        <v>45437</v>
      </c>
      <c r="D731" s="29">
        <f>Tailordata[[#This Row],[DueDate]]-Tailordata[[#This Row],[Date]]</f>
        <v>117</v>
      </c>
      <c r="E731" t="s">
        <v>27</v>
      </c>
      <c r="F731" t="s">
        <v>36</v>
      </c>
      <c r="G731">
        <v>203</v>
      </c>
      <c r="H731" t="s">
        <v>26</v>
      </c>
      <c r="I731">
        <v>22</v>
      </c>
      <c r="J731">
        <v>24</v>
      </c>
      <c r="K731">
        <v>23</v>
      </c>
      <c r="L731">
        <v>21</v>
      </c>
      <c r="N731">
        <v>32</v>
      </c>
      <c r="O731">
        <v>14</v>
      </c>
      <c r="P731">
        <v>23</v>
      </c>
    </row>
    <row r="732" spans="1:23">
      <c r="A732">
        <v>731</v>
      </c>
      <c r="B732" s="1">
        <v>45304</v>
      </c>
      <c r="C732" s="1">
        <v>45416</v>
      </c>
      <c r="D732" s="29">
        <f>Tailordata[[#This Row],[DueDate]]-Tailordata[[#This Row],[Date]]</f>
        <v>112</v>
      </c>
      <c r="E732" t="s">
        <v>22</v>
      </c>
      <c r="F732" t="s">
        <v>36</v>
      </c>
      <c r="G732">
        <v>237</v>
      </c>
      <c r="H732" t="s">
        <v>34</v>
      </c>
      <c r="I732">
        <v>21</v>
      </c>
      <c r="J732">
        <v>29</v>
      </c>
      <c r="K732">
        <v>17</v>
      </c>
      <c r="L732">
        <v>23</v>
      </c>
      <c r="M732">
        <v>24</v>
      </c>
    </row>
    <row r="733" spans="1:23">
      <c r="A733">
        <v>732</v>
      </c>
      <c r="B733" s="1">
        <v>45384</v>
      </c>
      <c r="C733" s="1">
        <v>45416</v>
      </c>
      <c r="D733" s="29">
        <f>Tailordata[[#This Row],[DueDate]]-Tailordata[[#This Row],[Date]]</f>
        <v>32</v>
      </c>
      <c r="E733" t="s">
        <v>35</v>
      </c>
      <c r="F733" t="s">
        <v>25</v>
      </c>
      <c r="G733">
        <v>264</v>
      </c>
      <c r="H733" t="s">
        <v>34</v>
      </c>
      <c r="O733">
        <v>23</v>
      </c>
      <c r="P733">
        <v>19</v>
      </c>
      <c r="Q733">
        <v>15</v>
      </c>
      <c r="R733">
        <v>19</v>
      </c>
      <c r="U733">
        <v>18</v>
      </c>
      <c r="V733">
        <v>15</v>
      </c>
      <c r="W733">
        <v>23</v>
      </c>
    </row>
    <row r="734" spans="1:23">
      <c r="A734">
        <v>733</v>
      </c>
      <c r="B734" s="1">
        <v>45377</v>
      </c>
      <c r="C734" s="1">
        <v>45419</v>
      </c>
      <c r="D734" s="29">
        <f>Tailordata[[#This Row],[DueDate]]-Tailordata[[#This Row],[Date]]</f>
        <v>42</v>
      </c>
      <c r="E734" t="s">
        <v>27</v>
      </c>
      <c r="F734" t="s">
        <v>30</v>
      </c>
      <c r="G734">
        <v>279</v>
      </c>
      <c r="H734" t="s">
        <v>34</v>
      </c>
      <c r="I734">
        <v>14</v>
      </c>
      <c r="J734">
        <v>32</v>
      </c>
      <c r="K734">
        <v>21</v>
      </c>
      <c r="L734">
        <v>21</v>
      </c>
      <c r="N734">
        <v>38</v>
      </c>
      <c r="O734">
        <v>20</v>
      </c>
      <c r="P734">
        <v>19</v>
      </c>
    </row>
    <row r="735" spans="1:23">
      <c r="A735">
        <v>734</v>
      </c>
      <c r="B735" s="1">
        <v>45344</v>
      </c>
      <c r="C735" s="1">
        <v>45439</v>
      </c>
      <c r="D735" s="29">
        <f>Tailordata[[#This Row],[DueDate]]-Tailordata[[#This Row],[Date]]</f>
        <v>95</v>
      </c>
      <c r="E735" t="s">
        <v>33</v>
      </c>
      <c r="F735" t="s">
        <v>32</v>
      </c>
      <c r="G735">
        <v>277</v>
      </c>
      <c r="H735" t="s">
        <v>24</v>
      </c>
      <c r="I735">
        <v>18</v>
      </c>
      <c r="J735">
        <v>29</v>
      </c>
      <c r="K735">
        <v>14</v>
      </c>
      <c r="L735">
        <v>24</v>
      </c>
      <c r="M735">
        <v>15</v>
      </c>
      <c r="N735">
        <v>29</v>
      </c>
      <c r="O735">
        <v>23</v>
      </c>
      <c r="Q735">
        <v>17</v>
      </c>
      <c r="R735">
        <v>21</v>
      </c>
    </row>
    <row r="736" spans="1:23">
      <c r="A736">
        <v>735</v>
      </c>
      <c r="B736" s="1">
        <v>45300</v>
      </c>
      <c r="C736" s="1">
        <v>45431</v>
      </c>
      <c r="D736" s="29">
        <f>Tailordata[[#This Row],[DueDate]]-Tailordata[[#This Row],[Date]]</f>
        <v>131</v>
      </c>
      <c r="E736" t="s">
        <v>22</v>
      </c>
      <c r="F736" t="s">
        <v>25</v>
      </c>
      <c r="G736">
        <v>69</v>
      </c>
      <c r="H736" t="s">
        <v>26</v>
      </c>
      <c r="I736">
        <v>14</v>
      </c>
      <c r="J736">
        <v>41</v>
      </c>
      <c r="K736">
        <v>20</v>
      </c>
      <c r="L736">
        <v>17</v>
      </c>
      <c r="M736">
        <v>15</v>
      </c>
    </row>
    <row r="737" spans="1:23">
      <c r="A737">
        <v>736</v>
      </c>
      <c r="B737" s="1">
        <v>45405</v>
      </c>
      <c r="C737" s="1">
        <v>45434</v>
      </c>
      <c r="D737" s="29">
        <f>Tailordata[[#This Row],[DueDate]]-Tailordata[[#This Row],[Date]]</f>
        <v>29</v>
      </c>
      <c r="E737" t="s">
        <v>27</v>
      </c>
      <c r="F737" t="s">
        <v>30</v>
      </c>
      <c r="G737">
        <v>164</v>
      </c>
      <c r="H737" t="s">
        <v>34</v>
      </c>
      <c r="I737">
        <v>21</v>
      </c>
      <c r="J737">
        <v>50</v>
      </c>
      <c r="K737">
        <v>14</v>
      </c>
      <c r="L737">
        <v>15</v>
      </c>
      <c r="N737">
        <v>25</v>
      </c>
      <c r="O737">
        <v>19</v>
      </c>
      <c r="P737">
        <v>18</v>
      </c>
    </row>
    <row r="738" spans="1:23">
      <c r="A738">
        <v>737</v>
      </c>
      <c r="B738" s="1">
        <v>45326</v>
      </c>
      <c r="C738" s="1">
        <v>45416</v>
      </c>
      <c r="D738" s="29">
        <f>Tailordata[[#This Row],[DueDate]]-Tailordata[[#This Row],[Date]]</f>
        <v>90</v>
      </c>
      <c r="E738" t="s">
        <v>33</v>
      </c>
      <c r="F738" t="s">
        <v>23</v>
      </c>
      <c r="G738">
        <v>488</v>
      </c>
      <c r="H738" t="s">
        <v>24</v>
      </c>
      <c r="I738">
        <v>18</v>
      </c>
      <c r="J738">
        <v>22</v>
      </c>
      <c r="K738">
        <v>23</v>
      </c>
      <c r="L738">
        <v>22</v>
      </c>
      <c r="M738">
        <v>19</v>
      </c>
      <c r="N738">
        <v>37</v>
      </c>
      <c r="O738">
        <v>19</v>
      </c>
      <c r="Q738">
        <v>22</v>
      </c>
      <c r="R738">
        <v>20</v>
      </c>
    </row>
    <row r="739" spans="1:23">
      <c r="A739">
        <v>738</v>
      </c>
      <c r="B739" s="1">
        <v>45356</v>
      </c>
      <c r="C739" s="1">
        <v>45433</v>
      </c>
      <c r="D739" s="29">
        <f>Tailordata[[#This Row],[DueDate]]-Tailordata[[#This Row],[Date]]</f>
        <v>77</v>
      </c>
      <c r="E739" t="s">
        <v>29</v>
      </c>
      <c r="F739" t="s">
        <v>32</v>
      </c>
      <c r="G739">
        <v>106</v>
      </c>
      <c r="H739" t="s">
        <v>31</v>
      </c>
      <c r="O739">
        <v>22</v>
      </c>
      <c r="Q739">
        <v>20</v>
      </c>
      <c r="R739">
        <v>15</v>
      </c>
      <c r="S739">
        <v>24</v>
      </c>
      <c r="T739">
        <v>18</v>
      </c>
      <c r="U739">
        <v>15</v>
      </c>
    </row>
    <row r="740" spans="1:23">
      <c r="A740">
        <v>739</v>
      </c>
      <c r="B740" s="1">
        <v>45338</v>
      </c>
      <c r="C740" s="1">
        <v>45429</v>
      </c>
      <c r="D740" s="29">
        <f>Tailordata[[#This Row],[DueDate]]-Tailordata[[#This Row],[Date]]</f>
        <v>91</v>
      </c>
      <c r="E740" t="s">
        <v>27</v>
      </c>
      <c r="F740" t="s">
        <v>30</v>
      </c>
      <c r="G740">
        <v>250</v>
      </c>
      <c r="H740" t="s">
        <v>28</v>
      </c>
      <c r="I740">
        <v>18</v>
      </c>
      <c r="J740">
        <v>44</v>
      </c>
      <c r="K740">
        <v>19</v>
      </c>
      <c r="L740">
        <v>14</v>
      </c>
      <c r="N740">
        <v>44</v>
      </c>
      <c r="O740">
        <v>21</v>
      </c>
      <c r="P740">
        <v>24</v>
      </c>
    </row>
    <row r="741" spans="1:23">
      <c r="A741">
        <v>740</v>
      </c>
      <c r="B741" s="1">
        <v>45298</v>
      </c>
      <c r="C741" s="1">
        <v>45419</v>
      </c>
      <c r="D741" s="29">
        <f>Tailordata[[#This Row],[DueDate]]-Tailordata[[#This Row],[Date]]</f>
        <v>121</v>
      </c>
      <c r="E741" t="s">
        <v>27</v>
      </c>
      <c r="F741" t="s">
        <v>23</v>
      </c>
      <c r="G741">
        <v>261</v>
      </c>
      <c r="H741" t="s">
        <v>24</v>
      </c>
      <c r="I741">
        <v>16</v>
      </c>
      <c r="J741">
        <v>30</v>
      </c>
      <c r="K741">
        <v>18</v>
      </c>
      <c r="L741">
        <v>23</v>
      </c>
      <c r="N741">
        <v>50</v>
      </c>
      <c r="O741">
        <v>23</v>
      </c>
      <c r="P741">
        <v>21</v>
      </c>
    </row>
    <row r="742" spans="1:23">
      <c r="A742">
        <v>741</v>
      </c>
      <c r="B742" s="1">
        <v>45300</v>
      </c>
      <c r="C742" s="1">
        <v>45432</v>
      </c>
      <c r="D742" s="29">
        <f>Tailordata[[#This Row],[DueDate]]-Tailordata[[#This Row],[Date]]</f>
        <v>132</v>
      </c>
      <c r="E742" t="s">
        <v>22</v>
      </c>
      <c r="F742" t="s">
        <v>25</v>
      </c>
      <c r="G742">
        <v>278</v>
      </c>
      <c r="H742" t="s">
        <v>26</v>
      </c>
      <c r="I742">
        <v>24</v>
      </c>
      <c r="J742">
        <v>32</v>
      </c>
      <c r="K742">
        <v>14</v>
      </c>
      <c r="L742">
        <v>23</v>
      </c>
      <c r="M742">
        <v>23</v>
      </c>
    </row>
    <row r="743" spans="1:23">
      <c r="A743">
        <v>742</v>
      </c>
      <c r="B743" s="1">
        <v>45385</v>
      </c>
      <c r="C743" s="1">
        <v>45431</v>
      </c>
      <c r="D743" s="29">
        <f>Tailordata[[#This Row],[DueDate]]-Tailordata[[#This Row],[Date]]</f>
        <v>46</v>
      </c>
      <c r="E743" t="s">
        <v>29</v>
      </c>
      <c r="F743" t="s">
        <v>32</v>
      </c>
      <c r="G743">
        <v>469</v>
      </c>
      <c r="H743" t="s">
        <v>24</v>
      </c>
      <c r="O743">
        <v>23</v>
      </c>
      <c r="Q743">
        <v>20</v>
      </c>
      <c r="R743">
        <v>24</v>
      </c>
      <c r="S743">
        <v>23</v>
      </c>
      <c r="T743">
        <v>23</v>
      </c>
      <c r="U743">
        <v>14</v>
      </c>
    </row>
    <row r="744" spans="1:23">
      <c r="A744">
        <v>743</v>
      </c>
      <c r="B744" s="1">
        <v>45327</v>
      </c>
      <c r="C744" s="1">
        <v>45419</v>
      </c>
      <c r="D744" s="29">
        <f>Tailordata[[#This Row],[DueDate]]-Tailordata[[#This Row],[Date]]</f>
        <v>92</v>
      </c>
      <c r="E744" t="s">
        <v>33</v>
      </c>
      <c r="F744" t="s">
        <v>23</v>
      </c>
      <c r="G744">
        <v>54</v>
      </c>
      <c r="H744" t="s">
        <v>24</v>
      </c>
      <c r="I744">
        <v>19</v>
      </c>
      <c r="J744">
        <v>45</v>
      </c>
      <c r="K744">
        <v>14</v>
      </c>
      <c r="L744">
        <v>14</v>
      </c>
      <c r="M744">
        <v>16</v>
      </c>
      <c r="N744">
        <v>33</v>
      </c>
      <c r="O744">
        <v>14</v>
      </c>
      <c r="Q744">
        <v>16</v>
      </c>
      <c r="R744">
        <v>22</v>
      </c>
    </row>
    <row r="745" spans="1:23">
      <c r="A745">
        <v>744</v>
      </c>
      <c r="B745" s="1">
        <v>45349</v>
      </c>
      <c r="C745" s="1">
        <v>45435</v>
      </c>
      <c r="D745" s="29">
        <f>Tailordata[[#This Row],[DueDate]]-Tailordata[[#This Row],[Date]]</f>
        <v>86</v>
      </c>
      <c r="E745" t="s">
        <v>29</v>
      </c>
      <c r="F745" t="s">
        <v>36</v>
      </c>
      <c r="G745">
        <v>218</v>
      </c>
      <c r="H745" t="s">
        <v>34</v>
      </c>
      <c r="O745">
        <v>19</v>
      </c>
      <c r="Q745">
        <v>19</v>
      </c>
      <c r="R745">
        <v>19</v>
      </c>
      <c r="S745">
        <v>19</v>
      </c>
      <c r="T745">
        <v>19</v>
      </c>
      <c r="U745">
        <v>23</v>
      </c>
    </row>
    <row r="746" spans="1:23">
      <c r="A746">
        <v>745</v>
      </c>
      <c r="B746" s="1">
        <v>45300</v>
      </c>
      <c r="C746" s="1">
        <v>45440</v>
      </c>
      <c r="D746" s="29">
        <f>Tailordata[[#This Row],[DueDate]]-Tailordata[[#This Row],[Date]]</f>
        <v>140</v>
      </c>
      <c r="E746" t="s">
        <v>35</v>
      </c>
      <c r="F746" t="s">
        <v>36</v>
      </c>
      <c r="G746">
        <v>351</v>
      </c>
      <c r="H746" t="s">
        <v>24</v>
      </c>
      <c r="O746">
        <v>24</v>
      </c>
      <c r="P746">
        <v>24</v>
      </c>
      <c r="Q746">
        <v>19</v>
      </c>
      <c r="R746">
        <v>16</v>
      </c>
      <c r="U746">
        <v>21</v>
      </c>
      <c r="V746">
        <v>15</v>
      </c>
      <c r="W746">
        <v>21</v>
      </c>
    </row>
    <row r="747" spans="1:23">
      <c r="A747">
        <v>746</v>
      </c>
      <c r="B747" s="1">
        <v>45374</v>
      </c>
      <c r="C747" s="1">
        <v>45435</v>
      </c>
      <c r="D747" s="29">
        <f>Tailordata[[#This Row],[DueDate]]-Tailordata[[#This Row],[Date]]</f>
        <v>61</v>
      </c>
      <c r="E747" t="s">
        <v>22</v>
      </c>
      <c r="F747" t="s">
        <v>36</v>
      </c>
      <c r="G747">
        <v>71</v>
      </c>
      <c r="H747" t="s">
        <v>28</v>
      </c>
      <c r="I747">
        <v>24</v>
      </c>
      <c r="J747">
        <v>43</v>
      </c>
      <c r="K747">
        <v>16</v>
      </c>
      <c r="L747">
        <v>24</v>
      </c>
      <c r="M747">
        <v>23</v>
      </c>
    </row>
    <row r="748" spans="1:23">
      <c r="A748">
        <v>747</v>
      </c>
      <c r="B748" s="1">
        <v>45293</v>
      </c>
      <c r="C748" s="1">
        <v>45436</v>
      </c>
      <c r="D748" s="29">
        <f>Tailordata[[#This Row],[DueDate]]-Tailordata[[#This Row],[Date]]</f>
        <v>143</v>
      </c>
      <c r="E748" t="s">
        <v>27</v>
      </c>
      <c r="F748" t="s">
        <v>23</v>
      </c>
      <c r="G748">
        <v>198</v>
      </c>
      <c r="H748" t="s">
        <v>24</v>
      </c>
      <c r="I748">
        <v>20</v>
      </c>
      <c r="J748">
        <v>43</v>
      </c>
      <c r="K748">
        <v>19</v>
      </c>
      <c r="L748">
        <v>22</v>
      </c>
      <c r="N748">
        <v>47</v>
      </c>
      <c r="O748">
        <v>14</v>
      </c>
      <c r="P748">
        <v>17</v>
      </c>
    </row>
    <row r="749" spans="1:23">
      <c r="A749">
        <v>748</v>
      </c>
      <c r="B749" s="1">
        <v>45294</v>
      </c>
      <c r="C749" s="1">
        <v>45434</v>
      </c>
      <c r="D749" s="29">
        <f>Tailordata[[#This Row],[DueDate]]-Tailordata[[#This Row],[Date]]</f>
        <v>140</v>
      </c>
      <c r="E749" t="s">
        <v>35</v>
      </c>
      <c r="F749" t="s">
        <v>30</v>
      </c>
      <c r="G749">
        <v>287</v>
      </c>
      <c r="H749" t="s">
        <v>34</v>
      </c>
      <c r="O749">
        <v>22</v>
      </c>
      <c r="P749">
        <v>14</v>
      </c>
      <c r="Q749">
        <v>24</v>
      </c>
      <c r="R749">
        <v>18</v>
      </c>
      <c r="U749">
        <v>19</v>
      </c>
      <c r="V749">
        <v>22</v>
      </c>
      <c r="W749">
        <v>15</v>
      </c>
    </row>
    <row r="750" spans="1:23">
      <c r="A750">
        <v>749</v>
      </c>
      <c r="B750" s="1">
        <v>45346</v>
      </c>
      <c r="C750" s="1">
        <v>45438</v>
      </c>
      <c r="D750" s="29">
        <f>Tailordata[[#This Row],[DueDate]]-Tailordata[[#This Row],[Date]]</f>
        <v>92</v>
      </c>
      <c r="E750" t="s">
        <v>22</v>
      </c>
      <c r="F750" t="s">
        <v>23</v>
      </c>
      <c r="G750">
        <v>399</v>
      </c>
      <c r="H750" t="s">
        <v>24</v>
      </c>
      <c r="I750">
        <v>14</v>
      </c>
      <c r="J750">
        <v>49</v>
      </c>
      <c r="K750">
        <v>21</v>
      </c>
      <c r="L750">
        <v>24</v>
      </c>
      <c r="M750">
        <v>21</v>
      </c>
    </row>
    <row r="751" spans="1:23">
      <c r="A751">
        <v>750</v>
      </c>
      <c r="B751" s="1">
        <v>45332</v>
      </c>
      <c r="C751" s="1">
        <v>45430</v>
      </c>
      <c r="D751" s="29">
        <f>Tailordata[[#This Row],[DueDate]]-Tailordata[[#This Row],[Date]]</f>
        <v>98</v>
      </c>
      <c r="E751" t="s">
        <v>22</v>
      </c>
      <c r="F751" t="s">
        <v>36</v>
      </c>
      <c r="G751">
        <v>54</v>
      </c>
      <c r="H751" t="s">
        <v>31</v>
      </c>
      <c r="I751">
        <v>19</v>
      </c>
      <c r="J751">
        <v>47</v>
      </c>
      <c r="K751">
        <v>23</v>
      </c>
      <c r="L751">
        <v>16</v>
      </c>
      <c r="M751">
        <v>15</v>
      </c>
    </row>
    <row r="752" spans="1:23">
      <c r="A752">
        <v>751</v>
      </c>
      <c r="B752" s="1">
        <v>45345</v>
      </c>
      <c r="C752" s="1">
        <v>45418</v>
      </c>
      <c r="D752" s="29">
        <f>Tailordata[[#This Row],[DueDate]]-Tailordata[[#This Row],[Date]]</f>
        <v>73</v>
      </c>
      <c r="E752" t="s">
        <v>29</v>
      </c>
      <c r="F752" t="s">
        <v>36</v>
      </c>
      <c r="G752">
        <v>334</v>
      </c>
      <c r="H752" t="s">
        <v>34</v>
      </c>
      <c r="O752">
        <v>19</v>
      </c>
      <c r="Q752">
        <v>16</v>
      </c>
      <c r="R752">
        <v>15</v>
      </c>
      <c r="S752">
        <v>21</v>
      </c>
      <c r="T752">
        <v>24</v>
      </c>
      <c r="U752">
        <v>17</v>
      </c>
    </row>
    <row r="753" spans="1:23">
      <c r="A753">
        <v>752</v>
      </c>
      <c r="B753" s="1">
        <v>45337</v>
      </c>
      <c r="C753" s="1">
        <v>45412</v>
      </c>
      <c r="D753" s="29">
        <f>Tailordata[[#This Row],[DueDate]]-Tailordata[[#This Row],[Date]]</f>
        <v>75</v>
      </c>
      <c r="E753" t="s">
        <v>33</v>
      </c>
      <c r="F753" t="s">
        <v>23</v>
      </c>
      <c r="G753">
        <v>227</v>
      </c>
      <c r="H753" t="s">
        <v>28</v>
      </c>
      <c r="I753">
        <v>21</v>
      </c>
      <c r="J753">
        <v>34</v>
      </c>
      <c r="K753">
        <v>16</v>
      </c>
      <c r="L753">
        <v>14</v>
      </c>
      <c r="M753">
        <v>19</v>
      </c>
      <c r="N753">
        <v>38</v>
      </c>
      <c r="O753">
        <v>16</v>
      </c>
      <c r="Q753">
        <v>14</v>
      </c>
      <c r="R753">
        <v>22</v>
      </c>
    </row>
    <row r="754" spans="1:23">
      <c r="A754">
        <v>753</v>
      </c>
      <c r="B754" s="1">
        <v>45376</v>
      </c>
      <c r="C754" s="1">
        <v>45436</v>
      </c>
      <c r="D754" s="29">
        <f>Tailordata[[#This Row],[DueDate]]-Tailordata[[#This Row],[Date]]</f>
        <v>60</v>
      </c>
      <c r="E754" t="s">
        <v>35</v>
      </c>
      <c r="F754" t="s">
        <v>25</v>
      </c>
      <c r="G754">
        <v>114</v>
      </c>
      <c r="H754" t="s">
        <v>26</v>
      </c>
      <c r="O754">
        <v>23</v>
      </c>
      <c r="P754">
        <v>14</v>
      </c>
      <c r="Q754">
        <v>17</v>
      </c>
      <c r="R754">
        <v>15</v>
      </c>
      <c r="U754">
        <v>24</v>
      </c>
      <c r="V754">
        <v>23</v>
      </c>
      <c r="W754">
        <v>16</v>
      </c>
    </row>
    <row r="755" spans="1:23">
      <c r="A755">
        <v>754</v>
      </c>
      <c r="B755" s="1">
        <v>45335</v>
      </c>
      <c r="C755" s="1">
        <v>45414</v>
      </c>
      <c r="D755" s="29">
        <f>Tailordata[[#This Row],[DueDate]]-Tailordata[[#This Row],[Date]]</f>
        <v>79</v>
      </c>
      <c r="E755" t="s">
        <v>27</v>
      </c>
      <c r="F755" t="s">
        <v>23</v>
      </c>
      <c r="G755">
        <v>401</v>
      </c>
      <c r="H755" t="s">
        <v>31</v>
      </c>
      <c r="I755">
        <v>19</v>
      </c>
      <c r="J755">
        <v>47</v>
      </c>
      <c r="K755">
        <v>23</v>
      </c>
      <c r="L755">
        <v>15</v>
      </c>
      <c r="N755">
        <v>48</v>
      </c>
      <c r="O755">
        <v>16</v>
      </c>
      <c r="P755">
        <v>16</v>
      </c>
    </row>
    <row r="756" spans="1:23">
      <c r="A756">
        <v>755</v>
      </c>
      <c r="B756" s="1">
        <v>45397</v>
      </c>
      <c r="C756" s="1">
        <v>45436</v>
      </c>
      <c r="D756" s="29">
        <f>Tailordata[[#This Row],[DueDate]]-Tailordata[[#This Row],[Date]]</f>
        <v>39</v>
      </c>
      <c r="E756" t="s">
        <v>22</v>
      </c>
      <c r="F756" t="s">
        <v>36</v>
      </c>
      <c r="G756">
        <v>333</v>
      </c>
      <c r="H756" t="s">
        <v>31</v>
      </c>
      <c r="I756">
        <v>14</v>
      </c>
      <c r="J756">
        <v>38</v>
      </c>
      <c r="K756">
        <v>19</v>
      </c>
      <c r="L756">
        <v>15</v>
      </c>
      <c r="M756">
        <v>23</v>
      </c>
    </row>
    <row r="757" spans="1:23">
      <c r="A757">
        <v>756</v>
      </c>
      <c r="B757" s="1">
        <v>45391</v>
      </c>
      <c r="C757" s="1">
        <v>45440</v>
      </c>
      <c r="D757" s="29">
        <f>Tailordata[[#This Row],[DueDate]]-Tailordata[[#This Row],[Date]]</f>
        <v>49</v>
      </c>
      <c r="E757" t="s">
        <v>33</v>
      </c>
      <c r="F757" t="s">
        <v>30</v>
      </c>
      <c r="G757">
        <v>111</v>
      </c>
      <c r="H757" t="s">
        <v>28</v>
      </c>
      <c r="I757">
        <v>24</v>
      </c>
      <c r="J757">
        <v>29</v>
      </c>
      <c r="K757">
        <v>19</v>
      </c>
      <c r="L757">
        <v>19</v>
      </c>
      <c r="M757">
        <v>15</v>
      </c>
      <c r="N757">
        <v>35</v>
      </c>
      <c r="O757">
        <v>24</v>
      </c>
      <c r="Q757">
        <v>24</v>
      </c>
      <c r="R757">
        <v>22</v>
      </c>
    </row>
    <row r="758" spans="1:23">
      <c r="A758">
        <v>757</v>
      </c>
      <c r="B758" s="1">
        <v>45343</v>
      </c>
      <c r="C758" s="1">
        <v>45424</v>
      </c>
      <c r="D758" s="29">
        <f>Tailordata[[#This Row],[DueDate]]-Tailordata[[#This Row],[Date]]</f>
        <v>81</v>
      </c>
      <c r="E758" t="s">
        <v>22</v>
      </c>
      <c r="F758" t="s">
        <v>25</v>
      </c>
      <c r="G758">
        <v>86</v>
      </c>
      <c r="H758" t="s">
        <v>31</v>
      </c>
      <c r="I758">
        <v>15</v>
      </c>
      <c r="J758">
        <v>47</v>
      </c>
      <c r="K758">
        <v>18</v>
      </c>
      <c r="L758">
        <v>18</v>
      </c>
      <c r="M758">
        <v>15</v>
      </c>
    </row>
    <row r="759" spans="1:23">
      <c r="A759">
        <v>758</v>
      </c>
      <c r="B759" s="1">
        <v>45303</v>
      </c>
      <c r="C759" s="1">
        <v>45412</v>
      </c>
      <c r="D759" s="29">
        <f>Tailordata[[#This Row],[DueDate]]-Tailordata[[#This Row],[Date]]</f>
        <v>109</v>
      </c>
      <c r="E759" t="s">
        <v>29</v>
      </c>
      <c r="F759" t="s">
        <v>36</v>
      </c>
      <c r="G759">
        <v>307</v>
      </c>
      <c r="H759" t="s">
        <v>31</v>
      </c>
      <c r="O759">
        <v>24</v>
      </c>
      <c r="Q759">
        <v>16</v>
      </c>
      <c r="R759">
        <v>21</v>
      </c>
      <c r="S759">
        <v>21</v>
      </c>
      <c r="T759">
        <v>16</v>
      </c>
      <c r="U759">
        <v>16</v>
      </c>
    </row>
    <row r="760" spans="1:23">
      <c r="A760">
        <v>759</v>
      </c>
      <c r="B760" s="1">
        <v>45362</v>
      </c>
      <c r="C760" s="1">
        <v>45419</v>
      </c>
      <c r="D760" s="29">
        <f>Tailordata[[#This Row],[DueDate]]-Tailordata[[#This Row],[Date]]</f>
        <v>57</v>
      </c>
      <c r="E760" t="s">
        <v>33</v>
      </c>
      <c r="F760" t="s">
        <v>36</v>
      </c>
      <c r="G760">
        <v>154</v>
      </c>
      <c r="H760" t="s">
        <v>26</v>
      </c>
      <c r="I760">
        <v>23</v>
      </c>
      <c r="J760">
        <v>47</v>
      </c>
      <c r="K760">
        <v>19</v>
      </c>
      <c r="L760">
        <v>21</v>
      </c>
      <c r="M760">
        <v>22</v>
      </c>
      <c r="N760">
        <v>33</v>
      </c>
      <c r="O760">
        <v>20</v>
      </c>
      <c r="Q760">
        <v>18</v>
      </c>
      <c r="R760">
        <v>15</v>
      </c>
    </row>
    <row r="761" spans="1:23">
      <c r="A761">
        <v>760</v>
      </c>
      <c r="B761" s="1">
        <v>45297</v>
      </c>
      <c r="C761" s="1">
        <v>45416</v>
      </c>
      <c r="D761" s="29">
        <f>Tailordata[[#This Row],[DueDate]]-Tailordata[[#This Row],[Date]]</f>
        <v>119</v>
      </c>
      <c r="E761" t="s">
        <v>33</v>
      </c>
      <c r="F761" t="s">
        <v>30</v>
      </c>
      <c r="G761">
        <v>317</v>
      </c>
      <c r="H761" t="s">
        <v>34</v>
      </c>
      <c r="I761">
        <v>17</v>
      </c>
      <c r="J761">
        <v>21</v>
      </c>
      <c r="K761">
        <v>23</v>
      </c>
      <c r="L761">
        <v>16</v>
      </c>
      <c r="M761">
        <v>16</v>
      </c>
      <c r="N761">
        <v>27</v>
      </c>
      <c r="O761">
        <v>22</v>
      </c>
      <c r="Q761">
        <v>24</v>
      </c>
      <c r="R761">
        <v>20</v>
      </c>
    </row>
    <row r="762" spans="1:23">
      <c r="A762">
        <v>761</v>
      </c>
      <c r="B762" s="1">
        <v>45375</v>
      </c>
      <c r="C762" s="1">
        <v>45429</v>
      </c>
      <c r="D762" s="29">
        <f>Tailordata[[#This Row],[DueDate]]-Tailordata[[#This Row],[Date]]</f>
        <v>54</v>
      </c>
      <c r="E762" t="s">
        <v>22</v>
      </c>
      <c r="F762" t="s">
        <v>36</v>
      </c>
      <c r="G762">
        <v>182</v>
      </c>
      <c r="H762" t="s">
        <v>24</v>
      </c>
      <c r="I762">
        <v>17</v>
      </c>
      <c r="J762">
        <v>35</v>
      </c>
      <c r="K762">
        <v>21</v>
      </c>
      <c r="L762">
        <v>24</v>
      </c>
      <c r="M762">
        <v>24</v>
      </c>
    </row>
    <row r="763" spans="1:23">
      <c r="A763">
        <v>762</v>
      </c>
      <c r="B763" s="1">
        <v>45345</v>
      </c>
      <c r="C763" s="1">
        <v>45411</v>
      </c>
      <c r="D763" s="29">
        <f>Tailordata[[#This Row],[DueDate]]-Tailordata[[#This Row],[Date]]</f>
        <v>66</v>
      </c>
      <c r="E763" t="s">
        <v>35</v>
      </c>
      <c r="F763" t="s">
        <v>23</v>
      </c>
      <c r="G763">
        <v>201</v>
      </c>
      <c r="H763" t="s">
        <v>26</v>
      </c>
      <c r="O763">
        <v>16</v>
      </c>
      <c r="P763">
        <v>20</v>
      </c>
      <c r="Q763">
        <v>24</v>
      </c>
      <c r="R763">
        <v>22</v>
      </c>
      <c r="U763">
        <v>22</v>
      </c>
      <c r="V763">
        <v>16</v>
      </c>
      <c r="W763">
        <v>16</v>
      </c>
    </row>
    <row r="764" spans="1:23">
      <c r="A764">
        <v>763</v>
      </c>
      <c r="B764" s="1">
        <v>45392</v>
      </c>
      <c r="C764" s="1">
        <v>45432</v>
      </c>
      <c r="D764" s="29">
        <f>Tailordata[[#This Row],[DueDate]]-Tailordata[[#This Row],[Date]]</f>
        <v>40</v>
      </c>
      <c r="E764" t="s">
        <v>33</v>
      </c>
      <c r="F764" t="s">
        <v>23</v>
      </c>
      <c r="G764">
        <v>489</v>
      </c>
      <c r="H764" t="s">
        <v>28</v>
      </c>
      <c r="I764">
        <v>16</v>
      </c>
      <c r="J764">
        <v>38</v>
      </c>
      <c r="K764">
        <v>23</v>
      </c>
      <c r="L764">
        <v>14</v>
      </c>
      <c r="M764">
        <v>14</v>
      </c>
      <c r="N764">
        <v>26</v>
      </c>
      <c r="O764">
        <v>24</v>
      </c>
      <c r="Q764">
        <v>17</v>
      </c>
      <c r="R764">
        <v>14</v>
      </c>
    </row>
    <row r="765" spans="1:23">
      <c r="A765">
        <v>764</v>
      </c>
      <c r="B765" s="1">
        <v>45389</v>
      </c>
      <c r="C765" s="1">
        <v>45435</v>
      </c>
      <c r="D765" s="29">
        <f>Tailordata[[#This Row],[DueDate]]-Tailordata[[#This Row],[Date]]</f>
        <v>46</v>
      </c>
      <c r="E765" t="s">
        <v>27</v>
      </c>
      <c r="F765" t="s">
        <v>30</v>
      </c>
      <c r="G765">
        <v>344</v>
      </c>
      <c r="H765" t="s">
        <v>26</v>
      </c>
      <c r="I765">
        <v>22</v>
      </c>
      <c r="J765">
        <v>33</v>
      </c>
      <c r="K765">
        <v>24</v>
      </c>
      <c r="L765">
        <v>18</v>
      </c>
      <c r="N765">
        <v>40</v>
      </c>
      <c r="O765">
        <v>17</v>
      </c>
      <c r="P765">
        <v>19</v>
      </c>
    </row>
    <row r="766" spans="1:23">
      <c r="A766">
        <v>765</v>
      </c>
      <c r="B766" s="1">
        <v>45308</v>
      </c>
      <c r="C766" s="1">
        <v>45423</v>
      </c>
      <c r="D766" s="29">
        <f>Tailordata[[#This Row],[DueDate]]-Tailordata[[#This Row],[Date]]</f>
        <v>115</v>
      </c>
      <c r="E766" t="s">
        <v>29</v>
      </c>
      <c r="F766" t="s">
        <v>30</v>
      </c>
      <c r="G766">
        <v>124</v>
      </c>
      <c r="H766" t="s">
        <v>28</v>
      </c>
      <c r="O766">
        <v>14</v>
      </c>
      <c r="Q766">
        <v>18</v>
      </c>
      <c r="R766">
        <v>22</v>
      </c>
      <c r="S766">
        <v>19</v>
      </c>
      <c r="T766">
        <v>17</v>
      </c>
      <c r="U766">
        <v>21</v>
      </c>
    </row>
    <row r="767" spans="1:23">
      <c r="A767">
        <v>766</v>
      </c>
      <c r="B767" s="1">
        <v>45393</v>
      </c>
      <c r="C767" s="1">
        <v>45411</v>
      </c>
      <c r="D767" s="29">
        <f>Tailordata[[#This Row],[DueDate]]-Tailordata[[#This Row],[Date]]</f>
        <v>18</v>
      </c>
      <c r="E767" t="s">
        <v>27</v>
      </c>
      <c r="F767" t="s">
        <v>30</v>
      </c>
      <c r="G767">
        <v>133</v>
      </c>
      <c r="H767" t="s">
        <v>31</v>
      </c>
      <c r="I767">
        <v>18</v>
      </c>
      <c r="J767">
        <v>20</v>
      </c>
      <c r="K767">
        <v>15</v>
      </c>
      <c r="L767">
        <v>19</v>
      </c>
      <c r="N767">
        <v>25</v>
      </c>
      <c r="O767">
        <v>22</v>
      </c>
      <c r="P767">
        <v>21</v>
      </c>
    </row>
    <row r="768" spans="1:23">
      <c r="A768">
        <v>767</v>
      </c>
      <c r="B768" s="1">
        <v>45385</v>
      </c>
      <c r="C768" s="1">
        <v>45424</v>
      </c>
      <c r="D768" s="29">
        <f>Tailordata[[#This Row],[DueDate]]-Tailordata[[#This Row],[Date]]</f>
        <v>39</v>
      </c>
      <c r="E768" t="s">
        <v>29</v>
      </c>
      <c r="F768" t="s">
        <v>30</v>
      </c>
      <c r="G768">
        <v>428</v>
      </c>
      <c r="H768" t="s">
        <v>31</v>
      </c>
      <c r="O768">
        <v>22</v>
      </c>
      <c r="Q768">
        <v>16</v>
      </c>
      <c r="R768">
        <v>19</v>
      </c>
      <c r="S768">
        <v>22</v>
      </c>
      <c r="T768">
        <v>21</v>
      </c>
      <c r="U768">
        <v>20</v>
      </c>
    </row>
    <row r="769" spans="1:23">
      <c r="A769">
        <v>768</v>
      </c>
      <c r="B769" s="1">
        <v>45383</v>
      </c>
      <c r="C769" s="1">
        <v>45432</v>
      </c>
      <c r="D769" s="29">
        <f>Tailordata[[#This Row],[DueDate]]-Tailordata[[#This Row],[Date]]</f>
        <v>49</v>
      </c>
      <c r="E769" t="s">
        <v>22</v>
      </c>
      <c r="F769" t="s">
        <v>36</v>
      </c>
      <c r="G769">
        <v>289</v>
      </c>
      <c r="H769" t="s">
        <v>28</v>
      </c>
      <c r="I769">
        <v>18</v>
      </c>
      <c r="J769">
        <v>35</v>
      </c>
      <c r="K769">
        <v>17</v>
      </c>
      <c r="L769">
        <v>15</v>
      </c>
      <c r="M769">
        <v>16</v>
      </c>
    </row>
    <row r="770" spans="1:23">
      <c r="A770">
        <v>769</v>
      </c>
      <c r="B770" s="1">
        <v>45358</v>
      </c>
      <c r="C770" s="1">
        <v>45427</v>
      </c>
      <c r="D770" s="29">
        <f>Tailordata[[#This Row],[DueDate]]-Tailordata[[#This Row],[Date]]</f>
        <v>69</v>
      </c>
      <c r="E770" t="s">
        <v>35</v>
      </c>
      <c r="F770" t="s">
        <v>23</v>
      </c>
      <c r="G770">
        <v>276</v>
      </c>
      <c r="H770" t="s">
        <v>34</v>
      </c>
      <c r="O770">
        <v>24</v>
      </c>
      <c r="P770">
        <v>19</v>
      </c>
      <c r="Q770">
        <v>19</v>
      </c>
      <c r="R770">
        <v>24</v>
      </c>
      <c r="U770">
        <v>17</v>
      </c>
      <c r="V770">
        <v>21</v>
      </c>
      <c r="W770">
        <v>23</v>
      </c>
    </row>
    <row r="771" spans="1:23">
      <c r="A771">
        <v>770</v>
      </c>
      <c r="B771" s="1">
        <v>45339</v>
      </c>
      <c r="C771" s="1">
        <v>45439</v>
      </c>
      <c r="D771" s="29">
        <f>Tailordata[[#This Row],[DueDate]]-Tailordata[[#This Row],[Date]]</f>
        <v>100</v>
      </c>
      <c r="E771" t="s">
        <v>33</v>
      </c>
      <c r="F771" t="s">
        <v>23</v>
      </c>
      <c r="G771">
        <v>180</v>
      </c>
      <c r="H771" t="s">
        <v>34</v>
      </c>
      <c r="I771">
        <v>22</v>
      </c>
      <c r="J771">
        <v>44</v>
      </c>
      <c r="K771">
        <v>22</v>
      </c>
      <c r="L771">
        <v>16</v>
      </c>
      <c r="M771">
        <v>24</v>
      </c>
      <c r="N771">
        <v>46</v>
      </c>
      <c r="O771">
        <v>14</v>
      </c>
      <c r="Q771">
        <v>16</v>
      </c>
      <c r="R771">
        <v>18</v>
      </c>
    </row>
    <row r="772" spans="1:23">
      <c r="A772">
        <v>771</v>
      </c>
      <c r="B772" s="1">
        <v>45324</v>
      </c>
      <c r="C772" s="1">
        <v>45411</v>
      </c>
      <c r="D772" s="29">
        <f>Tailordata[[#This Row],[DueDate]]-Tailordata[[#This Row],[Date]]</f>
        <v>87</v>
      </c>
      <c r="E772" t="s">
        <v>29</v>
      </c>
      <c r="F772" t="s">
        <v>32</v>
      </c>
      <c r="G772">
        <v>441</v>
      </c>
      <c r="H772" t="s">
        <v>28</v>
      </c>
      <c r="O772">
        <v>22</v>
      </c>
      <c r="Q772">
        <v>19</v>
      </c>
      <c r="R772">
        <v>17</v>
      </c>
      <c r="S772">
        <v>21</v>
      </c>
      <c r="T772">
        <v>19</v>
      </c>
      <c r="U772">
        <v>20</v>
      </c>
    </row>
    <row r="773" spans="1:23">
      <c r="A773">
        <v>772</v>
      </c>
      <c r="B773" s="1">
        <v>45408</v>
      </c>
      <c r="C773" s="1">
        <v>45425</v>
      </c>
      <c r="D773" s="29">
        <f>Tailordata[[#This Row],[DueDate]]-Tailordata[[#This Row],[Date]]</f>
        <v>17</v>
      </c>
      <c r="E773" t="s">
        <v>35</v>
      </c>
      <c r="F773" t="s">
        <v>32</v>
      </c>
      <c r="G773">
        <v>203</v>
      </c>
      <c r="H773" t="s">
        <v>34</v>
      </c>
      <c r="O773">
        <v>14</v>
      </c>
      <c r="P773">
        <v>18</v>
      </c>
      <c r="Q773">
        <v>15</v>
      </c>
      <c r="R773">
        <v>19</v>
      </c>
      <c r="U773">
        <v>14</v>
      </c>
      <c r="V773">
        <v>14</v>
      </c>
      <c r="W773">
        <v>14</v>
      </c>
    </row>
    <row r="774" spans="1:23">
      <c r="A774">
        <v>773</v>
      </c>
      <c r="B774" s="1">
        <v>45399</v>
      </c>
      <c r="C774" s="1">
        <v>45435</v>
      </c>
      <c r="D774" s="29">
        <f>Tailordata[[#This Row],[DueDate]]-Tailordata[[#This Row],[Date]]</f>
        <v>36</v>
      </c>
      <c r="E774" t="s">
        <v>33</v>
      </c>
      <c r="F774" t="s">
        <v>30</v>
      </c>
      <c r="G774">
        <v>408</v>
      </c>
      <c r="H774" t="s">
        <v>26</v>
      </c>
      <c r="I774">
        <v>21</v>
      </c>
      <c r="J774">
        <v>42</v>
      </c>
      <c r="K774">
        <v>15</v>
      </c>
      <c r="L774">
        <v>14</v>
      </c>
      <c r="M774">
        <v>14</v>
      </c>
      <c r="N774">
        <v>34</v>
      </c>
      <c r="O774">
        <v>20</v>
      </c>
      <c r="Q774">
        <v>23</v>
      </c>
      <c r="R774">
        <v>14</v>
      </c>
    </row>
    <row r="775" spans="1:23">
      <c r="A775">
        <v>774</v>
      </c>
      <c r="B775" s="1">
        <v>45384</v>
      </c>
      <c r="C775" s="1">
        <v>45428</v>
      </c>
      <c r="D775" s="29">
        <f>Tailordata[[#This Row],[DueDate]]-Tailordata[[#This Row],[Date]]</f>
        <v>44</v>
      </c>
      <c r="E775" t="s">
        <v>29</v>
      </c>
      <c r="F775" t="s">
        <v>30</v>
      </c>
      <c r="G775">
        <v>133</v>
      </c>
      <c r="H775" t="s">
        <v>31</v>
      </c>
      <c r="O775">
        <v>15</v>
      </c>
      <c r="Q775">
        <v>18</v>
      </c>
      <c r="R775">
        <v>16</v>
      </c>
      <c r="S775">
        <v>16</v>
      </c>
      <c r="T775">
        <v>21</v>
      </c>
      <c r="U775">
        <v>16</v>
      </c>
    </row>
    <row r="776" spans="1:23">
      <c r="A776">
        <v>775</v>
      </c>
      <c r="B776" s="1">
        <v>45396</v>
      </c>
      <c r="C776" s="1">
        <v>45437</v>
      </c>
      <c r="D776" s="29">
        <f>Tailordata[[#This Row],[DueDate]]-Tailordata[[#This Row],[Date]]</f>
        <v>41</v>
      </c>
      <c r="E776" t="s">
        <v>27</v>
      </c>
      <c r="F776" t="s">
        <v>32</v>
      </c>
      <c r="G776">
        <v>437</v>
      </c>
      <c r="H776" t="s">
        <v>31</v>
      </c>
      <c r="I776">
        <v>18</v>
      </c>
      <c r="J776">
        <v>40</v>
      </c>
      <c r="K776">
        <v>19</v>
      </c>
      <c r="L776">
        <v>24</v>
      </c>
      <c r="N776">
        <v>20</v>
      </c>
      <c r="O776">
        <v>23</v>
      </c>
      <c r="P776">
        <v>19</v>
      </c>
    </row>
    <row r="777" spans="1:23">
      <c r="A777">
        <v>776</v>
      </c>
      <c r="B777" s="1">
        <v>45302</v>
      </c>
      <c r="C777" s="1">
        <v>45428</v>
      </c>
      <c r="D777" s="29">
        <f>Tailordata[[#This Row],[DueDate]]-Tailordata[[#This Row],[Date]]</f>
        <v>126</v>
      </c>
      <c r="E777" t="s">
        <v>35</v>
      </c>
      <c r="F777" t="s">
        <v>32</v>
      </c>
      <c r="G777">
        <v>236</v>
      </c>
      <c r="H777" t="s">
        <v>34</v>
      </c>
      <c r="O777">
        <v>17</v>
      </c>
      <c r="P777">
        <v>21</v>
      </c>
      <c r="Q777">
        <v>16</v>
      </c>
      <c r="R777">
        <v>19</v>
      </c>
      <c r="U777">
        <v>22</v>
      </c>
      <c r="V777">
        <v>19</v>
      </c>
      <c r="W777">
        <v>14</v>
      </c>
    </row>
    <row r="778" spans="1:23">
      <c r="A778">
        <v>777</v>
      </c>
      <c r="B778" s="1">
        <v>45401</v>
      </c>
      <c r="C778" s="1">
        <v>45422</v>
      </c>
      <c r="D778" s="29">
        <f>Tailordata[[#This Row],[DueDate]]-Tailordata[[#This Row],[Date]]</f>
        <v>21</v>
      </c>
      <c r="E778" t="s">
        <v>22</v>
      </c>
      <c r="F778" t="s">
        <v>25</v>
      </c>
      <c r="G778">
        <v>188</v>
      </c>
      <c r="H778" t="s">
        <v>31</v>
      </c>
      <c r="I778">
        <v>23</v>
      </c>
      <c r="J778">
        <v>49</v>
      </c>
      <c r="K778">
        <v>20</v>
      </c>
      <c r="L778">
        <v>23</v>
      </c>
      <c r="M778">
        <v>19</v>
      </c>
    </row>
    <row r="779" spans="1:23">
      <c r="A779">
        <v>778</v>
      </c>
      <c r="B779" s="1">
        <v>45332</v>
      </c>
      <c r="C779" s="1">
        <v>45422</v>
      </c>
      <c r="D779" s="29">
        <f>Tailordata[[#This Row],[DueDate]]-Tailordata[[#This Row],[Date]]</f>
        <v>90</v>
      </c>
      <c r="E779" t="s">
        <v>35</v>
      </c>
      <c r="F779" t="s">
        <v>30</v>
      </c>
      <c r="G779">
        <v>71</v>
      </c>
      <c r="H779" t="s">
        <v>28</v>
      </c>
      <c r="O779">
        <v>14</v>
      </c>
      <c r="P779">
        <v>19</v>
      </c>
      <c r="Q779">
        <v>20</v>
      </c>
      <c r="R779">
        <v>17</v>
      </c>
      <c r="U779">
        <v>20</v>
      </c>
      <c r="V779">
        <v>16</v>
      </c>
      <c r="W779">
        <v>22</v>
      </c>
    </row>
    <row r="780" spans="1:23">
      <c r="A780">
        <v>779</v>
      </c>
      <c r="B780" s="1">
        <v>45343</v>
      </c>
      <c r="C780" s="1">
        <v>45438</v>
      </c>
      <c r="D780" s="29">
        <f>Tailordata[[#This Row],[DueDate]]-Tailordata[[#This Row],[Date]]</f>
        <v>95</v>
      </c>
      <c r="E780" t="s">
        <v>33</v>
      </c>
      <c r="F780" t="s">
        <v>32</v>
      </c>
      <c r="G780">
        <v>160</v>
      </c>
      <c r="H780" t="s">
        <v>26</v>
      </c>
      <c r="I780">
        <v>22</v>
      </c>
      <c r="J780">
        <v>23</v>
      </c>
      <c r="K780">
        <v>16</v>
      </c>
      <c r="L780">
        <v>19</v>
      </c>
      <c r="M780">
        <v>23</v>
      </c>
      <c r="N780">
        <v>40</v>
      </c>
      <c r="O780">
        <v>14</v>
      </c>
      <c r="Q780">
        <v>18</v>
      </c>
      <c r="R780">
        <v>14</v>
      </c>
    </row>
    <row r="781" spans="1:23">
      <c r="A781">
        <v>780</v>
      </c>
      <c r="B781" s="1">
        <v>45387</v>
      </c>
      <c r="C781" s="1">
        <v>45418</v>
      </c>
      <c r="D781" s="29">
        <f>Tailordata[[#This Row],[DueDate]]-Tailordata[[#This Row],[Date]]</f>
        <v>31</v>
      </c>
      <c r="E781" t="s">
        <v>29</v>
      </c>
      <c r="F781" t="s">
        <v>32</v>
      </c>
      <c r="G781">
        <v>97</v>
      </c>
      <c r="H781" t="s">
        <v>34</v>
      </c>
      <c r="O781">
        <v>18</v>
      </c>
      <c r="Q781">
        <v>14</v>
      </c>
      <c r="R781">
        <v>24</v>
      </c>
      <c r="S781">
        <v>16</v>
      </c>
      <c r="T781">
        <v>17</v>
      </c>
      <c r="U781">
        <v>15</v>
      </c>
    </row>
    <row r="782" spans="1:23">
      <c r="A782">
        <v>781</v>
      </c>
      <c r="B782" s="1">
        <v>45362</v>
      </c>
      <c r="C782" s="1">
        <v>45421</v>
      </c>
      <c r="D782" s="29">
        <f>Tailordata[[#This Row],[DueDate]]-Tailordata[[#This Row],[Date]]</f>
        <v>59</v>
      </c>
      <c r="E782" t="s">
        <v>33</v>
      </c>
      <c r="F782" t="s">
        <v>36</v>
      </c>
      <c r="G782">
        <v>298</v>
      </c>
      <c r="H782" t="s">
        <v>24</v>
      </c>
      <c r="I782">
        <v>19</v>
      </c>
      <c r="J782">
        <v>34</v>
      </c>
      <c r="K782">
        <v>22</v>
      </c>
      <c r="L782">
        <v>19</v>
      </c>
      <c r="M782">
        <v>15</v>
      </c>
      <c r="N782">
        <v>42</v>
      </c>
      <c r="O782">
        <v>19</v>
      </c>
      <c r="Q782">
        <v>21</v>
      </c>
      <c r="R782">
        <v>20</v>
      </c>
    </row>
    <row r="783" spans="1:23">
      <c r="A783">
        <v>782</v>
      </c>
      <c r="B783" s="1">
        <v>45341</v>
      </c>
      <c r="C783" s="1">
        <v>45434</v>
      </c>
      <c r="D783" s="29">
        <f>Tailordata[[#This Row],[DueDate]]-Tailordata[[#This Row],[Date]]</f>
        <v>93</v>
      </c>
      <c r="E783" t="s">
        <v>35</v>
      </c>
      <c r="F783" t="s">
        <v>25</v>
      </c>
      <c r="G783">
        <v>467</v>
      </c>
      <c r="H783" t="s">
        <v>24</v>
      </c>
      <c r="O783">
        <v>20</v>
      </c>
      <c r="P783">
        <v>23</v>
      </c>
      <c r="Q783">
        <v>22</v>
      </c>
      <c r="R783">
        <v>19</v>
      </c>
      <c r="U783">
        <v>23</v>
      </c>
      <c r="V783">
        <v>19</v>
      </c>
      <c r="W783">
        <v>17</v>
      </c>
    </row>
    <row r="784" spans="1:23">
      <c r="A784">
        <v>783</v>
      </c>
      <c r="B784" s="1">
        <v>45336</v>
      </c>
      <c r="C784" s="1">
        <v>45426</v>
      </c>
      <c r="D784" s="29">
        <f>Tailordata[[#This Row],[DueDate]]-Tailordata[[#This Row],[Date]]</f>
        <v>90</v>
      </c>
      <c r="E784" t="s">
        <v>22</v>
      </c>
      <c r="F784" t="s">
        <v>25</v>
      </c>
      <c r="G784">
        <v>305</v>
      </c>
      <c r="H784" t="s">
        <v>28</v>
      </c>
      <c r="I784">
        <v>18</v>
      </c>
      <c r="J784">
        <v>34</v>
      </c>
      <c r="K784">
        <v>16</v>
      </c>
      <c r="L784">
        <v>17</v>
      </c>
      <c r="M784">
        <v>17</v>
      </c>
    </row>
    <row r="785" spans="1:23">
      <c r="A785">
        <v>784</v>
      </c>
      <c r="B785" s="1">
        <v>45301</v>
      </c>
      <c r="C785" s="1">
        <v>45413</v>
      </c>
      <c r="D785" s="29">
        <f>Tailordata[[#This Row],[DueDate]]-Tailordata[[#This Row],[Date]]</f>
        <v>112</v>
      </c>
      <c r="E785" t="s">
        <v>35</v>
      </c>
      <c r="F785" t="s">
        <v>23</v>
      </c>
      <c r="G785">
        <v>169</v>
      </c>
      <c r="H785" t="s">
        <v>26</v>
      </c>
      <c r="O785">
        <v>20</v>
      </c>
      <c r="P785">
        <v>18</v>
      </c>
      <c r="Q785">
        <v>23</v>
      </c>
      <c r="R785">
        <v>16</v>
      </c>
      <c r="U785">
        <v>16</v>
      </c>
      <c r="V785">
        <v>17</v>
      </c>
      <c r="W785">
        <v>23</v>
      </c>
    </row>
    <row r="786" spans="1:23">
      <c r="A786">
        <v>785</v>
      </c>
      <c r="B786" s="1">
        <v>45339</v>
      </c>
      <c r="C786" s="1">
        <v>45419</v>
      </c>
      <c r="D786" s="29">
        <f>Tailordata[[#This Row],[DueDate]]-Tailordata[[#This Row],[Date]]</f>
        <v>80</v>
      </c>
      <c r="E786" t="s">
        <v>35</v>
      </c>
      <c r="F786" t="s">
        <v>36</v>
      </c>
      <c r="G786">
        <v>490</v>
      </c>
      <c r="H786" t="s">
        <v>31</v>
      </c>
      <c r="O786">
        <v>20</v>
      </c>
      <c r="P786">
        <v>19</v>
      </c>
      <c r="Q786">
        <v>14</v>
      </c>
      <c r="R786">
        <v>23</v>
      </c>
      <c r="U786">
        <v>19</v>
      </c>
      <c r="V786">
        <v>16</v>
      </c>
      <c r="W786">
        <v>16</v>
      </c>
    </row>
    <row r="787" spans="1:23">
      <c r="A787">
        <v>786</v>
      </c>
      <c r="B787" s="1">
        <v>45404</v>
      </c>
      <c r="C787" s="1">
        <v>45423</v>
      </c>
      <c r="D787" s="29">
        <f>Tailordata[[#This Row],[DueDate]]-Tailordata[[#This Row],[Date]]</f>
        <v>19</v>
      </c>
      <c r="E787" t="s">
        <v>27</v>
      </c>
      <c r="F787" t="s">
        <v>25</v>
      </c>
      <c r="G787">
        <v>370</v>
      </c>
      <c r="H787" t="s">
        <v>28</v>
      </c>
      <c r="I787">
        <v>16</v>
      </c>
      <c r="J787">
        <v>24</v>
      </c>
      <c r="K787">
        <v>19</v>
      </c>
      <c r="L787">
        <v>17</v>
      </c>
      <c r="N787">
        <v>41</v>
      </c>
      <c r="O787">
        <v>20</v>
      </c>
      <c r="P787">
        <v>17</v>
      </c>
    </row>
    <row r="788" spans="1:23">
      <c r="A788">
        <v>787</v>
      </c>
      <c r="B788" s="1">
        <v>45329</v>
      </c>
      <c r="C788" s="1">
        <v>45439</v>
      </c>
      <c r="D788" s="29">
        <f>Tailordata[[#This Row],[DueDate]]-Tailordata[[#This Row],[Date]]</f>
        <v>110</v>
      </c>
      <c r="E788" t="s">
        <v>27</v>
      </c>
      <c r="F788" t="s">
        <v>36</v>
      </c>
      <c r="G788">
        <v>309</v>
      </c>
      <c r="H788" t="s">
        <v>26</v>
      </c>
      <c r="I788">
        <v>18</v>
      </c>
      <c r="J788">
        <v>20</v>
      </c>
      <c r="K788">
        <v>17</v>
      </c>
      <c r="L788">
        <v>24</v>
      </c>
      <c r="N788">
        <v>41</v>
      </c>
      <c r="O788">
        <v>20</v>
      </c>
      <c r="P788">
        <v>14</v>
      </c>
    </row>
    <row r="789" spans="1:23">
      <c r="A789">
        <v>788</v>
      </c>
      <c r="B789" s="1">
        <v>45396</v>
      </c>
      <c r="C789" s="1">
        <v>45434</v>
      </c>
      <c r="D789" s="29">
        <f>Tailordata[[#This Row],[DueDate]]-Tailordata[[#This Row],[Date]]</f>
        <v>38</v>
      </c>
      <c r="E789" t="s">
        <v>27</v>
      </c>
      <c r="F789" t="s">
        <v>36</v>
      </c>
      <c r="G789">
        <v>283</v>
      </c>
      <c r="H789" t="s">
        <v>24</v>
      </c>
      <c r="I789">
        <v>20</v>
      </c>
      <c r="J789">
        <v>41</v>
      </c>
      <c r="K789">
        <v>15</v>
      </c>
      <c r="L789">
        <v>18</v>
      </c>
      <c r="N789">
        <v>41</v>
      </c>
      <c r="O789">
        <v>16</v>
      </c>
      <c r="P789">
        <v>24</v>
      </c>
    </row>
    <row r="790" spans="1:23">
      <c r="A790">
        <v>789</v>
      </c>
      <c r="B790" s="1">
        <v>45385</v>
      </c>
      <c r="C790" s="1">
        <v>45440</v>
      </c>
      <c r="D790" s="29">
        <f>Tailordata[[#This Row],[DueDate]]-Tailordata[[#This Row],[Date]]</f>
        <v>55</v>
      </c>
      <c r="E790" t="s">
        <v>22</v>
      </c>
      <c r="F790" t="s">
        <v>32</v>
      </c>
      <c r="G790">
        <v>254</v>
      </c>
      <c r="H790" t="s">
        <v>28</v>
      </c>
      <c r="I790">
        <v>23</v>
      </c>
      <c r="J790">
        <v>30</v>
      </c>
      <c r="K790">
        <v>18</v>
      </c>
      <c r="L790">
        <v>18</v>
      </c>
      <c r="M790">
        <v>22</v>
      </c>
    </row>
    <row r="791" spans="1:23">
      <c r="A791">
        <v>790</v>
      </c>
      <c r="B791" s="1">
        <v>45297</v>
      </c>
      <c r="C791" s="1">
        <v>45436</v>
      </c>
      <c r="D791" s="29">
        <f>Tailordata[[#This Row],[DueDate]]-Tailordata[[#This Row],[Date]]</f>
        <v>139</v>
      </c>
      <c r="E791" t="s">
        <v>35</v>
      </c>
      <c r="F791" t="s">
        <v>23</v>
      </c>
      <c r="G791">
        <v>153</v>
      </c>
      <c r="H791" t="s">
        <v>34</v>
      </c>
      <c r="O791">
        <v>21</v>
      </c>
      <c r="P791">
        <v>18</v>
      </c>
      <c r="Q791">
        <v>17</v>
      </c>
      <c r="R791">
        <v>14</v>
      </c>
      <c r="U791">
        <v>19</v>
      </c>
      <c r="V791">
        <v>23</v>
      </c>
      <c r="W791">
        <v>17</v>
      </c>
    </row>
    <row r="792" spans="1:23">
      <c r="A792">
        <v>791</v>
      </c>
      <c r="B792" s="1">
        <v>45333</v>
      </c>
      <c r="C792" s="1">
        <v>45422</v>
      </c>
      <c r="D792" s="29">
        <f>Tailordata[[#This Row],[DueDate]]-Tailordata[[#This Row],[Date]]</f>
        <v>89</v>
      </c>
      <c r="E792" t="s">
        <v>33</v>
      </c>
      <c r="F792" t="s">
        <v>23</v>
      </c>
      <c r="G792">
        <v>244</v>
      </c>
      <c r="H792" t="s">
        <v>31</v>
      </c>
      <c r="I792">
        <v>18</v>
      </c>
      <c r="J792">
        <v>50</v>
      </c>
      <c r="K792">
        <v>19</v>
      </c>
      <c r="L792">
        <v>19</v>
      </c>
      <c r="M792">
        <v>15</v>
      </c>
      <c r="N792">
        <v>35</v>
      </c>
      <c r="O792">
        <v>17</v>
      </c>
      <c r="Q792">
        <v>17</v>
      </c>
      <c r="R792">
        <v>18</v>
      </c>
    </row>
    <row r="793" spans="1:23">
      <c r="A793">
        <v>792</v>
      </c>
      <c r="B793" s="1">
        <v>45331</v>
      </c>
      <c r="C793" s="1">
        <v>45423</v>
      </c>
      <c r="D793" s="29">
        <f>Tailordata[[#This Row],[DueDate]]-Tailordata[[#This Row],[Date]]</f>
        <v>92</v>
      </c>
      <c r="E793" t="s">
        <v>27</v>
      </c>
      <c r="F793" t="s">
        <v>32</v>
      </c>
      <c r="G793">
        <v>143</v>
      </c>
      <c r="H793" t="s">
        <v>28</v>
      </c>
      <c r="I793">
        <v>24</v>
      </c>
      <c r="J793">
        <v>37</v>
      </c>
      <c r="K793">
        <v>24</v>
      </c>
      <c r="L793">
        <v>19</v>
      </c>
      <c r="N793">
        <v>47</v>
      </c>
      <c r="O793">
        <v>18</v>
      </c>
      <c r="P793">
        <v>15</v>
      </c>
    </row>
    <row r="794" spans="1:23">
      <c r="A794">
        <v>793</v>
      </c>
      <c r="B794" s="1">
        <v>45331</v>
      </c>
      <c r="C794" s="1">
        <v>45425</v>
      </c>
      <c r="D794" s="29">
        <f>Tailordata[[#This Row],[DueDate]]-Tailordata[[#This Row],[Date]]</f>
        <v>94</v>
      </c>
      <c r="E794" t="s">
        <v>22</v>
      </c>
      <c r="F794" t="s">
        <v>23</v>
      </c>
      <c r="G794">
        <v>88</v>
      </c>
      <c r="H794" t="s">
        <v>26</v>
      </c>
      <c r="I794">
        <v>14</v>
      </c>
      <c r="J794">
        <v>21</v>
      </c>
      <c r="K794">
        <v>18</v>
      </c>
      <c r="L794">
        <v>16</v>
      </c>
      <c r="M794">
        <v>20</v>
      </c>
    </row>
    <row r="795" spans="1:23">
      <c r="A795">
        <v>794</v>
      </c>
      <c r="B795" s="1">
        <v>45358</v>
      </c>
      <c r="C795" s="1">
        <v>45421</v>
      </c>
      <c r="D795" s="29">
        <f>Tailordata[[#This Row],[DueDate]]-Tailordata[[#This Row],[Date]]</f>
        <v>63</v>
      </c>
      <c r="E795" t="s">
        <v>22</v>
      </c>
      <c r="F795" t="s">
        <v>30</v>
      </c>
      <c r="G795">
        <v>57</v>
      </c>
      <c r="H795" t="s">
        <v>26</v>
      </c>
      <c r="I795">
        <v>24</v>
      </c>
      <c r="J795">
        <v>22</v>
      </c>
      <c r="K795">
        <v>23</v>
      </c>
      <c r="L795">
        <v>14</v>
      </c>
      <c r="M795">
        <v>15</v>
      </c>
    </row>
    <row r="796" spans="1:23">
      <c r="A796">
        <v>795</v>
      </c>
      <c r="B796" s="1">
        <v>45298</v>
      </c>
      <c r="C796" s="1">
        <v>45416</v>
      </c>
      <c r="D796" s="29">
        <f>Tailordata[[#This Row],[DueDate]]-Tailordata[[#This Row],[Date]]</f>
        <v>118</v>
      </c>
      <c r="E796" t="s">
        <v>22</v>
      </c>
      <c r="F796" t="s">
        <v>25</v>
      </c>
      <c r="G796">
        <v>288</v>
      </c>
      <c r="H796" t="s">
        <v>34</v>
      </c>
      <c r="I796">
        <v>19</v>
      </c>
      <c r="J796">
        <v>42</v>
      </c>
      <c r="K796">
        <v>20</v>
      </c>
      <c r="L796">
        <v>20</v>
      </c>
      <c r="M796">
        <v>23</v>
      </c>
    </row>
    <row r="797" spans="1:23">
      <c r="A797">
        <v>796</v>
      </c>
      <c r="B797" s="1">
        <v>45383</v>
      </c>
      <c r="C797" s="1">
        <v>45418</v>
      </c>
      <c r="D797" s="29">
        <f>Tailordata[[#This Row],[DueDate]]-Tailordata[[#This Row],[Date]]</f>
        <v>35</v>
      </c>
      <c r="E797" t="s">
        <v>33</v>
      </c>
      <c r="F797" t="s">
        <v>23</v>
      </c>
      <c r="G797">
        <v>257</v>
      </c>
      <c r="H797" t="s">
        <v>26</v>
      </c>
      <c r="I797">
        <v>23</v>
      </c>
      <c r="J797">
        <v>20</v>
      </c>
      <c r="K797">
        <v>23</v>
      </c>
      <c r="L797">
        <v>21</v>
      </c>
      <c r="M797">
        <v>15</v>
      </c>
      <c r="N797">
        <v>31</v>
      </c>
      <c r="O797">
        <v>19</v>
      </c>
      <c r="Q797">
        <v>21</v>
      </c>
      <c r="R797">
        <v>24</v>
      </c>
    </row>
    <row r="798" spans="1:23">
      <c r="A798">
        <v>797</v>
      </c>
      <c r="B798" s="1">
        <v>45341</v>
      </c>
      <c r="C798" s="1">
        <v>45417</v>
      </c>
      <c r="D798" s="29">
        <f>Tailordata[[#This Row],[DueDate]]-Tailordata[[#This Row],[Date]]</f>
        <v>76</v>
      </c>
      <c r="E798" t="s">
        <v>33</v>
      </c>
      <c r="F798" t="s">
        <v>36</v>
      </c>
      <c r="G798">
        <v>391</v>
      </c>
      <c r="H798" t="s">
        <v>26</v>
      </c>
      <c r="I798">
        <v>22</v>
      </c>
      <c r="J798">
        <v>49</v>
      </c>
      <c r="K798">
        <v>22</v>
      </c>
      <c r="L798">
        <v>16</v>
      </c>
      <c r="M798">
        <v>24</v>
      </c>
      <c r="N798">
        <v>22</v>
      </c>
      <c r="O798">
        <v>21</v>
      </c>
      <c r="Q798">
        <v>14</v>
      </c>
      <c r="R798">
        <v>22</v>
      </c>
    </row>
    <row r="799" spans="1:23">
      <c r="A799">
        <v>798</v>
      </c>
      <c r="B799" s="1">
        <v>45364</v>
      </c>
      <c r="C799" s="1">
        <v>45421</v>
      </c>
      <c r="D799" s="29">
        <f>Tailordata[[#This Row],[DueDate]]-Tailordata[[#This Row],[Date]]</f>
        <v>57</v>
      </c>
      <c r="E799" t="s">
        <v>27</v>
      </c>
      <c r="F799" t="s">
        <v>23</v>
      </c>
      <c r="G799">
        <v>493</v>
      </c>
      <c r="H799" t="s">
        <v>26</v>
      </c>
      <c r="I799">
        <v>23</v>
      </c>
      <c r="J799">
        <v>21</v>
      </c>
      <c r="K799">
        <v>14</v>
      </c>
      <c r="L799">
        <v>23</v>
      </c>
      <c r="N799">
        <v>47</v>
      </c>
      <c r="O799">
        <v>15</v>
      </c>
      <c r="P799">
        <v>18</v>
      </c>
    </row>
    <row r="800" spans="1:23">
      <c r="A800">
        <v>799</v>
      </c>
      <c r="B800" s="1">
        <v>45310</v>
      </c>
      <c r="C800" s="1">
        <v>45428</v>
      </c>
      <c r="D800" s="29">
        <f>Tailordata[[#This Row],[DueDate]]-Tailordata[[#This Row],[Date]]</f>
        <v>118</v>
      </c>
      <c r="E800" t="s">
        <v>22</v>
      </c>
      <c r="F800" t="s">
        <v>30</v>
      </c>
      <c r="G800">
        <v>488</v>
      </c>
      <c r="H800" t="s">
        <v>24</v>
      </c>
      <c r="I800">
        <v>18</v>
      </c>
      <c r="J800">
        <v>49</v>
      </c>
      <c r="K800">
        <v>24</v>
      </c>
      <c r="L800">
        <v>20</v>
      </c>
      <c r="M800">
        <v>22</v>
      </c>
    </row>
    <row r="801" spans="1:23">
      <c r="A801">
        <v>800</v>
      </c>
      <c r="B801" s="1">
        <v>45336</v>
      </c>
      <c r="C801" s="1">
        <v>45436</v>
      </c>
      <c r="D801" s="29">
        <f>Tailordata[[#This Row],[DueDate]]-Tailordata[[#This Row],[Date]]</f>
        <v>100</v>
      </c>
      <c r="E801" t="s">
        <v>33</v>
      </c>
      <c r="F801" t="s">
        <v>25</v>
      </c>
      <c r="G801">
        <v>159</v>
      </c>
      <c r="H801" t="s">
        <v>28</v>
      </c>
      <c r="I801">
        <v>24</v>
      </c>
      <c r="J801">
        <v>21</v>
      </c>
      <c r="K801">
        <v>16</v>
      </c>
      <c r="L801">
        <v>17</v>
      </c>
      <c r="M801">
        <v>18</v>
      </c>
      <c r="N801">
        <v>47</v>
      </c>
      <c r="O801">
        <v>15</v>
      </c>
      <c r="Q801">
        <v>20</v>
      </c>
      <c r="R801">
        <v>15</v>
      </c>
    </row>
    <row r="802" spans="1:23">
      <c r="A802">
        <v>801</v>
      </c>
      <c r="B802" s="1">
        <v>45329</v>
      </c>
      <c r="C802" s="1">
        <v>45427</v>
      </c>
      <c r="D802" s="29">
        <f>Tailordata[[#This Row],[DueDate]]-Tailordata[[#This Row],[Date]]</f>
        <v>98</v>
      </c>
      <c r="E802" t="s">
        <v>29</v>
      </c>
      <c r="F802" t="s">
        <v>36</v>
      </c>
      <c r="G802">
        <v>414</v>
      </c>
      <c r="H802" t="s">
        <v>34</v>
      </c>
      <c r="O802">
        <v>17</v>
      </c>
      <c r="Q802">
        <v>20</v>
      </c>
      <c r="R802">
        <v>19</v>
      </c>
      <c r="S802">
        <v>19</v>
      </c>
      <c r="T802">
        <v>21</v>
      </c>
      <c r="U802">
        <v>22</v>
      </c>
    </row>
    <row r="803" spans="1:23">
      <c r="A803">
        <v>802</v>
      </c>
      <c r="B803" s="1">
        <v>45363</v>
      </c>
      <c r="C803" s="1">
        <v>45418</v>
      </c>
      <c r="D803" s="29">
        <f>Tailordata[[#This Row],[DueDate]]-Tailordata[[#This Row],[Date]]</f>
        <v>55</v>
      </c>
      <c r="E803" t="s">
        <v>35</v>
      </c>
      <c r="F803" t="s">
        <v>23</v>
      </c>
      <c r="G803">
        <v>176</v>
      </c>
      <c r="H803" t="s">
        <v>24</v>
      </c>
      <c r="O803">
        <v>17</v>
      </c>
      <c r="P803">
        <v>21</v>
      </c>
      <c r="Q803">
        <v>14</v>
      </c>
      <c r="R803">
        <v>21</v>
      </c>
      <c r="U803">
        <v>14</v>
      </c>
      <c r="V803">
        <v>16</v>
      </c>
      <c r="W803">
        <v>24</v>
      </c>
    </row>
    <row r="804" spans="1:23">
      <c r="A804">
        <v>803</v>
      </c>
      <c r="B804" s="1">
        <v>45320</v>
      </c>
      <c r="C804" s="1">
        <v>45415</v>
      </c>
      <c r="D804" s="29">
        <f>Tailordata[[#This Row],[DueDate]]-Tailordata[[#This Row],[Date]]</f>
        <v>95</v>
      </c>
      <c r="E804" t="s">
        <v>33</v>
      </c>
      <c r="F804" t="s">
        <v>32</v>
      </c>
      <c r="G804">
        <v>463</v>
      </c>
      <c r="H804" t="s">
        <v>34</v>
      </c>
      <c r="I804">
        <v>19</v>
      </c>
      <c r="J804">
        <v>47</v>
      </c>
      <c r="K804">
        <v>20</v>
      </c>
      <c r="L804">
        <v>22</v>
      </c>
      <c r="M804">
        <v>15</v>
      </c>
      <c r="N804">
        <v>22</v>
      </c>
      <c r="O804">
        <v>15</v>
      </c>
      <c r="Q804">
        <v>21</v>
      </c>
      <c r="R804">
        <v>22</v>
      </c>
    </row>
    <row r="805" spans="1:23">
      <c r="A805">
        <v>804</v>
      </c>
      <c r="B805" s="1">
        <v>45408</v>
      </c>
      <c r="C805" s="1">
        <v>45419</v>
      </c>
      <c r="D805" s="29">
        <f>Tailordata[[#This Row],[DueDate]]-Tailordata[[#This Row],[Date]]</f>
        <v>11</v>
      </c>
      <c r="E805" t="s">
        <v>29</v>
      </c>
      <c r="F805" t="s">
        <v>23</v>
      </c>
      <c r="G805">
        <v>202</v>
      </c>
      <c r="H805" t="s">
        <v>24</v>
      </c>
      <c r="O805">
        <v>17</v>
      </c>
      <c r="Q805">
        <v>22</v>
      </c>
      <c r="R805">
        <v>17</v>
      </c>
      <c r="S805">
        <v>19</v>
      </c>
      <c r="T805">
        <v>24</v>
      </c>
      <c r="U805">
        <v>17</v>
      </c>
    </row>
    <row r="806" spans="1:23">
      <c r="A806">
        <v>805</v>
      </c>
      <c r="B806" s="1">
        <v>45403</v>
      </c>
      <c r="C806" s="1">
        <v>45439</v>
      </c>
      <c r="D806" s="29">
        <f>Tailordata[[#This Row],[DueDate]]-Tailordata[[#This Row],[Date]]</f>
        <v>36</v>
      </c>
      <c r="E806" t="s">
        <v>27</v>
      </c>
      <c r="F806" t="s">
        <v>23</v>
      </c>
      <c r="G806">
        <v>137</v>
      </c>
      <c r="H806" t="s">
        <v>26</v>
      </c>
      <c r="I806">
        <v>23</v>
      </c>
      <c r="J806">
        <v>37</v>
      </c>
      <c r="K806">
        <v>15</v>
      </c>
      <c r="L806">
        <v>22</v>
      </c>
      <c r="N806">
        <v>28</v>
      </c>
      <c r="O806">
        <v>24</v>
      </c>
      <c r="P806">
        <v>18</v>
      </c>
    </row>
    <row r="807" spans="1:23">
      <c r="A807">
        <v>806</v>
      </c>
      <c r="B807" s="1">
        <v>45385</v>
      </c>
      <c r="C807" s="1">
        <v>45413</v>
      </c>
      <c r="D807" s="29">
        <f>Tailordata[[#This Row],[DueDate]]-Tailordata[[#This Row],[Date]]</f>
        <v>28</v>
      </c>
      <c r="E807" t="s">
        <v>35</v>
      </c>
      <c r="F807" t="s">
        <v>32</v>
      </c>
      <c r="G807">
        <v>85</v>
      </c>
      <c r="H807" t="s">
        <v>24</v>
      </c>
      <c r="O807">
        <v>16</v>
      </c>
      <c r="P807">
        <v>21</v>
      </c>
      <c r="Q807">
        <v>16</v>
      </c>
      <c r="R807">
        <v>19</v>
      </c>
      <c r="U807">
        <v>21</v>
      </c>
      <c r="V807">
        <v>18</v>
      </c>
      <c r="W807">
        <v>23</v>
      </c>
    </row>
    <row r="808" spans="1:23">
      <c r="A808">
        <v>807</v>
      </c>
      <c r="B808" s="1">
        <v>45338</v>
      </c>
      <c r="C808" s="1">
        <v>45439</v>
      </c>
      <c r="D808" s="29">
        <f>Tailordata[[#This Row],[DueDate]]-Tailordata[[#This Row],[Date]]</f>
        <v>101</v>
      </c>
      <c r="E808" t="s">
        <v>33</v>
      </c>
      <c r="F808" t="s">
        <v>23</v>
      </c>
      <c r="G808">
        <v>129</v>
      </c>
      <c r="H808" t="s">
        <v>28</v>
      </c>
      <c r="I808">
        <v>17</v>
      </c>
      <c r="J808">
        <v>37</v>
      </c>
      <c r="K808">
        <v>15</v>
      </c>
      <c r="L808">
        <v>21</v>
      </c>
      <c r="M808">
        <v>23</v>
      </c>
      <c r="N808">
        <v>42</v>
      </c>
      <c r="O808">
        <v>16</v>
      </c>
      <c r="Q808">
        <v>19</v>
      </c>
      <c r="R808">
        <v>21</v>
      </c>
    </row>
    <row r="809" spans="1:23">
      <c r="A809">
        <v>808</v>
      </c>
      <c r="B809" s="1">
        <v>45323</v>
      </c>
      <c r="C809" s="1">
        <v>45426</v>
      </c>
      <c r="D809" s="29">
        <f>Tailordata[[#This Row],[DueDate]]-Tailordata[[#This Row],[Date]]</f>
        <v>103</v>
      </c>
      <c r="E809" t="s">
        <v>35</v>
      </c>
      <c r="F809" t="s">
        <v>23</v>
      </c>
      <c r="G809">
        <v>306</v>
      </c>
      <c r="H809" t="s">
        <v>34</v>
      </c>
      <c r="O809">
        <v>20</v>
      </c>
      <c r="P809">
        <v>20</v>
      </c>
      <c r="Q809">
        <v>19</v>
      </c>
      <c r="R809">
        <v>14</v>
      </c>
      <c r="U809">
        <v>24</v>
      </c>
      <c r="V809">
        <v>21</v>
      </c>
      <c r="W809">
        <v>20</v>
      </c>
    </row>
    <row r="810" spans="1:23">
      <c r="A810">
        <v>809</v>
      </c>
      <c r="B810" s="1">
        <v>45384</v>
      </c>
      <c r="C810" s="1">
        <v>45415</v>
      </c>
      <c r="D810" s="29">
        <f>Tailordata[[#This Row],[DueDate]]-Tailordata[[#This Row],[Date]]</f>
        <v>31</v>
      </c>
      <c r="E810" t="s">
        <v>35</v>
      </c>
      <c r="F810" t="s">
        <v>25</v>
      </c>
      <c r="G810">
        <v>311</v>
      </c>
      <c r="H810" t="s">
        <v>31</v>
      </c>
      <c r="O810">
        <v>15</v>
      </c>
      <c r="P810">
        <v>22</v>
      </c>
      <c r="Q810">
        <v>22</v>
      </c>
      <c r="R810">
        <v>22</v>
      </c>
      <c r="U810">
        <v>20</v>
      </c>
      <c r="V810">
        <v>14</v>
      </c>
      <c r="W810">
        <v>23</v>
      </c>
    </row>
    <row r="811" spans="1:23">
      <c r="A811">
        <v>810</v>
      </c>
      <c r="B811" s="1">
        <v>45301</v>
      </c>
      <c r="C811" s="1">
        <v>45419</v>
      </c>
      <c r="D811" s="29">
        <f>Tailordata[[#This Row],[DueDate]]-Tailordata[[#This Row],[Date]]</f>
        <v>118</v>
      </c>
      <c r="E811" t="s">
        <v>27</v>
      </c>
      <c r="F811" t="s">
        <v>23</v>
      </c>
      <c r="G811">
        <v>69</v>
      </c>
      <c r="H811" t="s">
        <v>34</v>
      </c>
      <c r="I811">
        <v>18</v>
      </c>
      <c r="J811">
        <v>41</v>
      </c>
      <c r="K811">
        <v>20</v>
      </c>
      <c r="L811">
        <v>23</v>
      </c>
      <c r="N811">
        <v>22</v>
      </c>
      <c r="O811">
        <v>15</v>
      </c>
      <c r="P811">
        <v>17</v>
      </c>
    </row>
    <row r="812" spans="1:23">
      <c r="A812">
        <v>811</v>
      </c>
      <c r="B812" s="1">
        <v>45354</v>
      </c>
      <c r="C812" s="1">
        <v>45436</v>
      </c>
      <c r="D812" s="29">
        <f>Tailordata[[#This Row],[DueDate]]-Tailordata[[#This Row],[Date]]</f>
        <v>82</v>
      </c>
      <c r="E812" t="s">
        <v>29</v>
      </c>
      <c r="F812" t="s">
        <v>32</v>
      </c>
      <c r="G812">
        <v>178</v>
      </c>
      <c r="H812" t="s">
        <v>34</v>
      </c>
      <c r="O812">
        <v>24</v>
      </c>
      <c r="Q812">
        <v>21</v>
      </c>
      <c r="R812">
        <v>21</v>
      </c>
      <c r="S812">
        <v>22</v>
      </c>
      <c r="T812">
        <v>23</v>
      </c>
      <c r="U812">
        <v>23</v>
      </c>
    </row>
    <row r="813" spans="1:23">
      <c r="A813">
        <v>812</v>
      </c>
      <c r="B813" s="1">
        <v>45326</v>
      </c>
      <c r="C813" s="1">
        <v>45434</v>
      </c>
      <c r="D813" s="29">
        <f>Tailordata[[#This Row],[DueDate]]-Tailordata[[#This Row],[Date]]</f>
        <v>108</v>
      </c>
      <c r="E813" t="s">
        <v>22</v>
      </c>
      <c r="F813" t="s">
        <v>25</v>
      </c>
      <c r="G813">
        <v>71</v>
      </c>
      <c r="H813" t="s">
        <v>26</v>
      </c>
      <c r="I813">
        <v>20</v>
      </c>
      <c r="J813">
        <v>31</v>
      </c>
      <c r="K813">
        <v>15</v>
      </c>
      <c r="L813">
        <v>21</v>
      </c>
      <c r="M813">
        <v>20</v>
      </c>
    </row>
    <row r="814" spans="1:23">
      <c r="A814">
        <v>813</v>
      </c>
      <c r="B814" s="1">
        <v>45404</v>
      </c>
      <c r="C814" s="1">
        <v>45427</v>
      </c>
      <c r="D814" s="29">
        <f>Tailordata[[#This Row],[DueDate]]-Tailordata[[#This Row],[Date]]</f>
        <v>23</v>
      </c>
      <c r="E814" t="s">
        <v>27</v>
      </c>
      <c r="F814" t="s">
        <v>30</v>
      </c>
      <c r="G814">
        <v>430</v>
      </c>
      <c r="H814" t="s">
        <v>28</v>
      </c>
      <c r="I814">
        <v>24</v>
      </c>
      <c r="J814">
        <v>26</v>
      </c>
      <c r="K814">
        <v>18</v>
      </c>
      <c r="L814">
        <v>16</v>
      </c>
      <c r="N814">
        <v>34</v>
      </c>
      <c r="O814">
        <v>21</v>
      </c>
      <c r="P814">
        <v>19</v>
      </c>
    </row>
    <row r="815" spans="1:23">
      <c r="A815">
        <v>814</v>
      </c>
      <c r="B815" s="1">
        <v>45400</v>
      </c>
      <c r="C815" s="1">
        <v>45422</v>
      </c>
      <c r="D815" s="29">
        <f>Tailordata[[#This Row],[DueDate]]-Tailordata[[#This Row],[Date]]</f>
        <v>22</v>
      </c>
      <c r="E815" t="s">
        <v>29</v>
      </c>
      <c r="F815" t="s">
        <v>32</v>
      </c>
      <c r="G815">
        <v>432</v>
      </c>
      <c r="H815" t="s">
        <v>28</v>
      </c>
      <c r="O815">
        <v>15</v>
      </c>
      <c r="Q815">
        <v>23</v>
      </c>
      <c r="R815">
        <v>19</v>
      </c>
      <c r="S815">
        <v>21</v>
      </c>
      <c r="T815">
        <v>16</v>
      </c>
      <c r="U815">
        <v>15</v>
      </c>
    </row>
    <row r="816" spans="1:23">
      <c r="A816">
        <v>815</v>
      </c>
      <c r="B816" s="1">
        <v>45368</v>
      </c>
      <c r="C816" s="1">
        <v>45420</v>
      </c>
      <c r="D816" s="29">
        <f>Tailordata[[#This Row],[DueDate]]-Tailordata[[#This Row],[Date]]</f>
        <v>52</v>
      </c>
      <c r="E816" t="s">
        <v>33</v>
      </c>
      <c r="F816" t="s">
        <v>36</v>
      </c>
      <c r="G816">
        <v>284</v>
      </c>
      <c r="H816" t="s">
        <v>26</v>
      </c>
      <c r="I816">
        <v>16</v>
      </c>
      <c r="J816">
        <v>36</v>
      </c>
      <c r="K816">
        <v>18</v>
      </c>
      <c r="L816">
        <v>18</v>
      </c>
      <c r="M816">
        <v>18</v>
      </c>
      <c r="N816">
        <v>29</v>
      </c>
      <c r="O816">
        <v>21</v>
      </c>
      <c r="Q816">
        <v>23</v>
      </c>
      <c r="R816">
        <v>16</v>
      </c>
    </row>
    <row r="817" spans="1:23">
      <c r="A817">
        <v>816</v>
      </c>
      <c r="B817" s="1">
        <v>45300</v>
      </c>
      <c r="C817" s="1">
        <v>45429</v>
      </c>
      <c r="D817" s="29">
        <f>Tailordata[[#This Row],[DueDate]]-Tailordata[[#This Row],[Date]]</f>
        <v>129</v>
      </c>
      <c r="E817" t="s">
        <v>35</v>
      </c>
      <c r="F817" t="s">
        <v>23</v>
      </c>
      <c r="G817">
        <v>499</v>
      </c>
      <c r="H817" t="s">
        <v>34</v>
      </c>
      <c r="O817">
        <v>14</v>
      </c>
      <c r="P817">
        <v>18</v>
      </c>
      <c r="Q817">
        <v>14</v>
      </c>
      <c r="R817">
        <v>15</v>
      </c>
      <c r="U817">
        <v>16</v>
      </c>
      <c r="V817">
        <v>21</v>
      </c>
      <c r="W817">
        <v>18</v>
      </c>
    </row>
    <row r="818" spans="1:23">
      <c r="A818">
        <v>817</v>
      </c>
      <c r="B818" s="1">
        <v>45345</v>
      </c>
      <c r="C818" s="1">
        <v>45439</v>
      </c>
      <c r="D818" s="29">
        <f>Tailordata[[#This Row],[DueDate]]-Tailordata[[#This Row],[Date]]</f>
        <v>94</v>
      </c>
      <c r="E818" t="s">
        <v>33</v>
      </c>
      <c r="F818" t="s">
        <v>32</v>
      </c>
      <c r="G818">
        <v>450</v>
      </c>
      <c r="H818" t="s">
        <v>31</v>
      </c>
      <c r="I818">
        <v>23</v>
      </c>
      <c r="J818">
        <v>46</v>
      </c>
      <c r="K818">
        <v>15</v>
      </c>
      <c r="L818">
        <v>15</v>
      </c>
      <c r="M818">
        <v>18</v>
      </c>
      <c r="N818">
        <v>36</v>
      </c>
      <c r="O818">
        <v>24</v>
      </c>
      <c r="Q818">
        <v>17</v>
      </c>
      <c r="R818">
        <v>15</v>
      </c>
    </row>
    <row r="819" spans="1:23">
      <c r="A819">
        <v>818</v>
      </c>
      <c r="B819" s="1">
        <v>45390</v>
      </c>
      <c r="C819" s="1">
        <v>45435</v>
      </c>
      <c r="D819" s="29">
        <f>Tailordata[[#This Row],[DueDate]]-Tailordata[[#This Row],[Date]]</f>
        <v>45</v>
      </c>
      <c r="E819" t="s">
        <v>22</v>
      </c>
      <c r="F819" t="s">
        <v>36</v>
      </c>
      <c r="G819">
        <v>312</v>
      </c>
      <c r="H819" t="s">
        <v>28</v>
      </c>
      <c r="I819">
        <v>24</v>
      </c>
      <c r="J819">
        <v>40</v>
      </c>
      <c r="K819">
        <v>22</v>
      </c>
      <c r="L819">
        <v>16</v>
      </c>
      <c r="M819">
        <v>23</v>
      </c>
    </row>
    <row r="820" spans="1:23">
      <c r="A820">
        <v>819</v>
      </c>
      <c r="B820" s="1">
        <v>45402</v>
      </c>
      <c r="C820" s="1">
        <v>45430</v>
      </c>
      <c r="D820" s="29">
        <f>Tailordata[[#This Row],[DueDate]]-Tailordata[[#This Row],[Date]]</f>
        <v>28</v>
      </c>
      <c r="E820" t="s">
        <v>29</v>
      </c>
      <c r="F820" t="s">
        <v>32</v>
      </c>
      <c r="G820">
        <v>228</v>
      </c>
      <c r="H820" t="s">
        <v>24</v>
      </c>
      <c r="O820">
        <v>17</v>
      </c>
      <c r="Q820">
        <v>14</v>
      </c>
      <c r="R820">
        <v>17</v>
      </c>
      <c r="S820">
        <v>22</v>
      </c>
      <c r="T820">
        <v>21</v>
      </c>
      <c r="U820">
        <v>20</v>
      </c>
    </row>
    <row r="821" spans="1:23">
      <c r="A821">
        <v>820</v>
      </c>
      <c r="B821" s="1">
        <v>45343</v>
      </c>
      <c r="C821" s="1">
        <v>45440</v>
      </c>
      <c r="D821" s="29">
        <f>Tailordata[[#This Row],[DueDate]]-Tailordata[[#This Row],[Date]]</f>
        <v>97</v>
      </c>
      <c r="E821" t="s">
        <v>29</v>
      </c>
      <c r="F821" t="s">
        <v>23</v>
      </c>
      <c r="G821">
        <v>266</v>
      </c>
      <c r="H821" t="s">
        <v>28</v>
      </c>
      <c r="O821">
        <v>18</v>
      </c>
      <c r="Q821">
        <v>18</v>
      </c>
      <c r="R821">
        <v>16</v>
      </c>
      <c r="S821">
        <v>20</v>
      </c>
      <c r="T821">
        <v>20</v>
      </c>
      <c r="U821">
        <v>17</v>
      </c>
    </row>
    <row r="822" spans="1:23">
      <c r="A822">
        <v>821</v>
      </c>
      <c r="B822" s="1">
        <v>45312</v>
      </c>
      <c r="C822" s="1">
        <v>45420</v>
      </c>
      <c r="D822" s="29">
        <f>Tailordata[[#This Row],[DueDate]]-Tailordata[[#This Row],[Date]]</f>
        <v>108</v>
      </c>
      <c r="E822" t="s">
        <v>22</v>
      </c>
      <c r="F822" t="s">
        <v>30</v>
      </c>
      <c r="G822">
        <v>363</v>
      </c>
      <c r="H822" t="s">
        <v>24</v>
      </c>
      <c r="I822">
        <v>14</v>
      </c>
      <c r="J822">
        <v>23</v>
      </c>
      <c r="K822">
        <v>16</v>
      </c>
      <c r="L822">
        <v>22</v>
      </c>
      <c r="M822">
        <v>15</v>
      </c>
    </row>
    <row r="823" spans="1:23">
      <c r="A823">
        <v>822</v>
      </c>
      <c r="B823" s="1">
        <v>45375</v>
      </c>
      <c r="C823" s="1">
        <v>45435</v>
      </c>
      <c r="D823" s="29">
        <f>Tailordata[[#This Row],[DueDate]]-Tailordata[[#This Row],[Date]]</f>
        <v>60</v>
      </c>
      <c r="E823" t="s">
        <v>35</v>
      </c>
      <c r="F823" t="s">
        <v>30</v>
      </c>
      <c r="G823">
        <v>151</v>
      </c>
      <c r="H823" t="s">
        <v>34</v>
      </c>
      <c r="O823">
        <v>19</v>
      </c>
      <c r="P823">
        <v>20</v>
      </c>
      <c r="Q823">
        <v>24</v>
      </c>
      <c r="R823">
        <v>16</v>
      </c>
      <c r="U823">
        <v>15</v>
      </c>
      <c r="V823">
        <v>17</v>
      </c>
      <c r="W823">
        <v>18</v>
      </c>
    </row>
    <row r="824" spans="1:23">
      <c r="A824">
        <v>823</v>
      </c>
      <c r="B824" s="1">
        <v>45309</v>
      </c>
      <c r="C824" s="1">
        <v>45429</v>
      </c>
      <c r="D824" s="29">
        <f>Tailordata[[#This Row],[DueDate]]-Tailordata[[#This Row],[Date]]</f>
        <v>120</v>
      </c>
      <c r="E824" t="s">
        <v>29</v>
      </c>
      <c r="F824" t="s">
        <v>32</v>
      </c>
      <c r="G824">
        <v>173</v>
      </c>
      <c r="H824" t="s">
        <v>26</v>
      </c>
      <c r="O824">
        <v>15</v>
      </c>
      <c r="Q824">
        <v>22</v>
      </c>
      <c r="R824">
        <v>20</v>
      </c>
      <c r="S824">
        <v>22</v>
      </c>
      <c r="T824">
        <v>15</v>
      </c>
      <c r="U824">
        <v>22</v>
      </c>
    </row>
    <row r="825" spans="1:23">
      <c r="A825">
        <v>824</v>
      </c>
      <c r="B825" s="1">
        <v>45346</v>
      </c>
      <c r="C825" s="1">
        <v>45420</v>
      </c>
      <c r="D825" s="29">
        <f>Tailordata[[#This Row],[DueDate]]-Tailordata[[#This Row],[Date]]</f>
        <v>74</v>
      </c>
      <c r="E825" t="s">
        <v>22</v>
      </c>
      <c r="F825" t="s">
        <v>30</v>
      </c>
      <c r="G825">
        <v>380</v>
      </c>
      <c r="H825" t="s">
        <v>31</v>
      </c>
      <c r="I825">
        <v>17</v>
      </c>
      <c r="J825">
        <v>22</v>
      </c>
      <c r="K825">
        <v>22</v>
      </c>
      <c r="L825">
        <v>24</v>
      </c>
      <c r="M825">
        <v>17</v>
      </c>
    </row>
    <row r="826" spans="1:23">
      <c r="A826">
        <v>825</v>
      </c>
      <c r="B826" s="1">
        <v>45311</v>
      </c>
      <c r="C826" s="1">
        <v>45424</v>
      </c>
      <c r="D826" s="29">
        <f>Tailordata[[#This Row],[DueDate]]-Tailordata[[#This Row],[Date]]</f>
        <v>113</v>
      </c>
      <c r="E826" t="s">
        <v>29</v>
      </c>
      <c r="F826" t="s">
        <v>30</v>
      </c>
      <c r="G826">
        <v>410</v>
      </c>
      <c r="H826" t="s">
        <v>31</v>
      </c>
      <c r="O826">
        <v>15</v>
      </c>
      <c r="Q826">
        <v>19</v>
      </c>
      <c r="R826">
        <v>23</v>
      </c>
      <c r="S826">
        <v>15</v>
      </c>
      <c r="T826">
        <v>16</v>
      </c>
      <c r="U826">
        <v>17</v>
      </c>
    </row>
    <row r="827" spans="1:23">
      <c r="A827">
        <v>826</v>
      </c>
      <c r="B827" s="1">
        <v>45300</v>
      </c>
      <c r="C827" s="1">
        <v>45437</v>
      </c>
      <c r="D827" s="29">
        <f>Tailordata[[#This Row],[DueDate]]-Tailordata[[#This Row],[Date]]</f>
        <v>137</v>
      </c>
      <c r="E827" t="s">
        <v>22</v>
      </c>
      <c r="F827" t="s">
        <v>25</v>
      </c>
      <c r="G827">
        <v>227</v>
      </c>
      <c r="H827" t="s">
        <v>24</v>
      </c>
      <c r="I827">
        <v>18</v>
      </c>
      <c r="J827">
        <v>25</v>
      </c>
      <c r="K827">
        <v>20</v>
      </c>
      <c r="L827">
        <v>15</v>
      </c>
      <c r="M827">
        <v>14</v>
      </c>
    </row>
    <row r="828" spans="1:23">
      <c r="A828">
        <v>827</v>
      </c>
      <c r="B828" s="1">
        <v>45380</v>
      </c>
      <c r="C828" s="1">
        <v>45418</v>
      </c>
      <c r="D828" s="29">
        <f>Tailordata[[#This Row],[DueDate]]-Tailordata[[#This Row],[Date]]</f>
        <v>38</v>
      </c>
      <c r="E828" t="s">
        <v>33</v>
      </c>
      <c r="F828" t="s">
        <v>32</v>
      </c>
      <c r="G828">
        <v>270</v>
      </c>
      <c r="H828" t="s">
        <v>24</v>
      </c>
      <c r="I828">
        <v>20</v>
      </c>
      <c r="J828">
        <v>32</v>
      </c>
      <c r="K828">
        <v>17</v>
      </c>
      <c r="L828">
        <v>15</v>
      </c>
      <c r="M828">
        <v>18</v>
      </c>
      <c r="N828">
        <v>47</v>
      </c>
      <c r="O828">
        <v>15</v>
      </c>
      <c r="Q828">
        <v>20</v>
      </c>
      <c r="R828">
        <v>17</v>
      </c>
    </row>
    <row r="829" spans="1:23">
      <c r="A829">
        <v>828</v>
      </c>
      <c r="B829" s="1">
        <v>45403</v>
      </c>
      <c r="C829" s="1">
        <v>45414</v>
      </c>
      <c r="D829" s="29">
        <f>Tailordata[[#This Row],[DueDate]]-Tailordata[[#This Row],[Date]]</f>
        <v>11</v>
      </c>
      <c r="E829" t="s">
        <v>35</v>
      </c>
      <c r="F829" t="s">
        <v>25</v>
      </c>
      <c r="G829">
        <v>127</v>
      </c>
      <c r="H829" t="s">
        <v>34</v>
      </c>
      <c r="O829">
        <v>23</v>
      </c>
      <c r="P829">
        <v>23</v>
      </c>
      <c r="Q829">
        <v>24</v>
      </c>
      <c r="R829">
        <v>22</v>
      </c>
      <c r="U829">
        <v>16</v>
      </c>
      <c r="V829">
        <v>17</v>
      </c>
      <c r="W829">
        <v>24</v>
      </c>
    </row>
    <row r="830" spans="1:23">
      <c r="A830">
        <v>829</v>
      </c>
      <c r="B830" s="1">
        <v>45341</v>
      </c>
      <c r="C830" s="1">
        <v>45429</v>
      </c>
      <c r="D830" s="29">
        <f>Tailordata[[#This Row],[DueDate]]-Tailordata[[#This Row],[Date]]</f>
        <v>88</v>
      </c>
      <c r="E830" t="s">
        <v>27</v>
      </c>
      <c r="F830" t="s">
        <v>36</v>
      </c>
      <c r="G830">
        <v>487</v>
      </c>
      <c r="H830" t="s">
        <v>34</v>
      </c>
      <c r="I830">
        <v>22</v>
      </c>
      <c r="J830">
        <v>46</v>
      </c>
      <c r="K830">
        <v>19</v>
      </c>
      <c r="L830">
        <v>16</v>
      </c>
      <c r="N830">
        <v>27</v>
      </c>
      <c r="O830">
        <v>17</v>
      </c>
      <c r="P830">
        <v>22</v>
      </c>
    </row>
    <row r="831" spans="1:23">
      <c r="A831">
        <v>830</v>
      </c>
      <c r="B831" s="1">
        <v>45320</v>
      </c>
      <c r="C831" s="1">
        <v>45417</v>
      </c>
      <c r="D831" s="29">
        <f>Tailordata[[#This Row],[DueDate]]-Tailordata[[#This Row],[Date]]</f>
        <v>97</v>
      </c>
      <c r="E831" t="s">
        <v>33</v>
      </c>
      <c r="F831" t="s">
        <v>32</v>
      </c>
      <c r="G831">
        <v>74</v>
      </c>
      <c r="H831" t="s">
        <v>24</v>
      </c>
      <c r="I831">
        <v>14</v>
      </c>
      <c r="J831">
        <v>22</v>
      </c>
      <c r="K831">
        <v>18</v>
      </c>
      <c r="L831">
        <v>21</v>
      </c>
      <c r="M831">
        <v>14</v>
      </c>
      <c r="N831">
        <v>38</v>
      </c>
      <c r="O831">
        <v>22</v>
      </c>
      <c r="Q831">
        <v>22</v>
      </c>
      <c r="R831">
        <v>18</v>
      </c>
    </row>
    <row r="832" spans="1:23">
      <c r="A832">
        <v>831</v>
      </c>
      <c r="B832" s="1">
        <v>45350</v>
      </c>
      <c r="C832" s="1">
        <v>45433</v>
      </c>
      <c r="D832" s="29">
        <f>Tailordata[[#This Row],[DueDate]]-Tailordata[[#This Row],[Date]]</f>
        <v>83</v>
      </c>
      <c r="E832" t="s">
        <v>27</v>
      </c>
      <c r="F832" t="s">
        <v>36</v>
      </c>
      <c r="G832">
        <v>255</v>
      </c>
      <c r="H832" t="s">
        <v>24</v>
      </c>
      <c r="I832">
        <v>24</v>
      </c>
      <c r="J832">
        <v>50</v>
      </c>
      <c r="K832">
        <v>17</v>
      </c>
      <c r="L832">
        <v>18</v>
      </c>
      <c r="N832">
        <v>44</v>
      </c>
      <c r="O832">
        <v>19</v>
      </c>
      <c r="P832">
        <v>14</v>
      </c>
    </row>
    <row r="833" spans="1:23">
      <c r="A833">
        <v>832</v>
      </c>
      <c r="B833" s="1">
        <v>45392</v>
      </c>
      <c r="C833" s="1">
        <v>45422</v>
      </c>
      <c r="D833" s="29">
        <f>Tailordata[[#This Row],[DueDate]]-Tailordata[[#This Row],[Date]]</f>
        <v>30</v>
      </c>
      <c r="E833" t="s">
        <v>22</v>
      </c>
      <c r="F833" t="s">
        <v>23</v>
      </c>
      <c r="G833">
        <v>344</v>
      </c>
      <c r="H833" t="s">
        <v>28</v>
      </c>
      <c r="I833">
        <v>22</v>
      </c>
      <c r="J833">
        <v>33</v>
      </c>
      <c r="K833">
        <v>20</v>
      </c>
      <c r="L833">
        <v>16</v>
      </c>
      <c r="M833">
        <v>24</v>
      </c>
    </row>
    <row r="834" spans="1:23">
      <c r="A834">
        <v>833</v>
      </c>
      <c r="B834" s="1">
        <v>45355</v>
      </c>
      <c r="C834" s="1">
        <v>45435</v>
      </c>
      <c r="D834" s="29">
        <f>Tailordata[[#This Row],[DueDate]]-Tailordata[[#This Row],[Date]]</f>
        <v>80</v>
      </c>
      <c r="E834" t="s">
        <v>22</v>
      </c>
      <c r="F834" t="s">
        <v>23</v>
      </c>
      <c r="G834">
        <v>244</v>
      </c>
      <c r="H834" t="s">
        <v>24</v>
      </c>
      <c r="I834">
        <v>20</v>
      </c>
      <c r="J834">
        <v>27</v>
      </c>
      <c r="K834">
        <v>17</v>
      </c>
      <c r="L834">
        <v>24</v>
      </c>
      <c r="M834">
        <v>17</v>
      </c>
    </row>
    <row r="835" spans="1:23">
      <c r="A835">
        <v>834</v>
      </c>
      <c r="B835" s="1">
        <v>45303</v>
      </c>
      <c r="C835" s="1">
        <v>45433</v>
      </c>
      <c r="D835" s="29">
        <f>Tailordata[[#This Row],[DueDate]]-Tailordata[[#This Row],[Date]]</f>
        <v>130</v>
      </c>
      <c r="E835" t="s">
        <v>33</v>
      </c>
      <c r="F835" t="s">
        <v>30</v>
      </c>
      <c r="G835">
        <v>239</v>
      </c>
      <c r="H835" t="s">
        <v>28</v>
      </c>
      <c r="I835">
        <v>20</v>
      </c>
      <c r="J835">
        <v>32</v>
      </c>
      <c r="K835">
        <v>17</v>
      </c>
      <c r="L835">
        <v>18</v>
      </c>
      <c r="M835">
        <v>20</v>
      </c>
      <c r="N835">
        <v>48</v>
      </c>
      <c r="O835">
        <v>19</v>
      </c>
      <c r="Q835">
        <v>16</v>
      </c>
      <c r="R835">
        <v>21</v>
      </c>
    </row>
    <row r="836" spans="1:23">
      <c r="A836">
        <v>835</v>
      </c>
      <c r="B836" s="1">
        <v>45303</v>
      </c>
      <c r="C836" s="1">
        <v>45424</v>
      </c>
      <c r="D836" s="29">
        <f>Tailordata[[#This Row],[DueDate]]-Tailordata[[#This Row],[Date]]</f>
        <v>121</v>
      </c>
      <c r="E836" t="s">
        <v>35</v>
      </c>
      <c r="F836" t="s">
        <v>25</v>
      </c>
      <c r="G836">
        <v>296</v>
      </c>
      <c r="H836" t="s">
        <v>31</v>
      </c>
      <c r="O836">
        <v>17</v>
      </c>
      <c r="P836">
        <v>14</v>
      </c>
      <c r="Q836">
        <v>23</v>
      </c>
      <c r="R836">
        <v>17</v>
      </c>
      <c r="U836">
        <v>23</v>
      </c>
      <c r="V836">
        <v>20</v>
      </c>
      <c r="W836">
        <v>16</v>
      </c>
    </row>
    <row r="837" spans="1:23">
      <c r="A837">
        <v>836</v>
      </c>
      <c r="B837" s="1">
        <v>45335</v>
      </c>
      <c r="C837" s="1">
        <v>45415</v>
      </c>
      <c r="D837" s="29">
        <f>Tailordata[[#This Row],[DueDate]]-Tailordata[[#This Row],[Date]]</f>
        <v>80</v>
      </c>
      <c r="E837" t="s">
        <v>35</v>
      </c>
      <c r="F837" t="s">
        <v>36</v>
      </c>
      <c r="G837">
        <v>156</v>
      </c>
      <c r="H837" t="s">
        <v>24</v>
      </c>
      <c r="O837">
        <v>16</v>
      </c>
      <c r="P837">
        <v>22</v>
      </c>
      <c r="Q837">
        <v>24</v>
      </c>
      <c r="R837">
        <v>19</v>
      </c>
      <c r="U837">
        <v>22</v>
      </c>
      <c r="V837">
        <v>24</v>
      </c>
      <c r="W837">
        <v>23</v>
      </c>
    </row>
    <row r="838" spans="1:23">
      <c r="A838">
        <v>837</v>
      </c>
      <c r="B838" s="1">
        <v>45353</v>
      </c>
      <c r="C838" s="1">
        <v>45426</v>
      </c>
      <c r="D838" s="29">
        <f>Tailordata[[#This Row],[DueDate]]-Tailordata[[#This Row],[Date]]</f>
        <v>73</v>
      </c>
      <c r="E838" t="s">
        <v>22</v>
      </c>
      <c r="F838" t="s">
        <v>25</v>
      </c>
      <c r="G838">
        <v>492</v>
      </c>
      <c r="H838" t="s">
        <v>34</v>
      </c>
      <c r="I838">
        <v>19</v>
      </c>
      <c r="J838">
        <v>42</v>
      </c>
      <c r="K838">
        <v>22</v>
      </c>
      <c r="L838">
        <v>16</v>
      </c>
      <c r="M838">
        <v>22</v>
      </c>
    </row>
    <row r="839" spans="1:23">
      <c r="A839">
        <v>838</v>
      </c>
      <c r="B839" s="1">
        <v>45402</v>
      </c>
      <c r="C839" s="1">
        <v>45423</v>
      </c>
      <c r="D839" s="29">
        <f>Tailordata[[#This Row],[DueDate]]-Tailordata[[#This Row],[Date]]</f>
        <v>21</v>
      </c>
      <c r="E839" t="s">
        <v>35</v>
      </c>
      <c r="F839" t="s">
        <v>32</v>
      </c>
      <c r="G839">
        <v>430</v>
      </c>
      <c r="H839" t="s">
        <v>26</v>
      </c>
      <c r="O839">
        <v>19</v>
      </c>
      <c r="P839">
        <v>19</v>
      </c>
      <c r="Q839">
        <v>14</v>
      </c>
      <c r="R839">
        <v>20</v>
      </c>
      <c r="U839">
        <v>20</v>
      </c>
      <c r="V839">
        <v>23</v>
      </c>
      <c r="W839">
        <v>16</v>
      </c>
    </row>
    <row r="840" spans="1:23">
      <c r="A840">
        <v>839</v>
      </c>
      <c r="B840" s="1">
        <v>45304</v>
      </c>
      <c r="C840" s="1">
        <v>45438</v>
      </c>
      <c r="D840" s="29">
        <f>Tailordata[[#This Row],[DueDate]]-Tailordata[[#This Row],[Date]]</f>
        <v>134</v>
      </c>
      <c r="E840" t="s">
        <v>35</v>
      </c>
      <c r="F840" t="s">
        <v>36</v>
      </c>
      <c r="G840">
        <v>292</v>
      </c>
      <c r="H840" t="s">
        <v>24</v>
      </c>
      <c r="O840">
        <v>22</v>
      </c>
      <c r="P840">
        <v>14</v>
      </c>
      <c r="Q840">
        <v>14</v>
      </c>
      <c r="R840">
        <v>23</v>
      </c>
      <c r="U840">
        <v>16</v>
      </c>
      <c r="V840">
        <v>21</v>
      </c>
      <c r="W840">
        <v>17</v>
      </c>
    </row>
    <row r="841" spans="1:23">
      <c r="A841">
        <v>840</v>
      </c>
      <c r="B841" s="1">
        <v>45377</v>
      </c>
      <c r="C841" s="1">
        <v>45426</v>
      </c>
      <c r="D841" s="29">
        <f>Tailordata[[#This Row],[DueDate]]-Tailordata[[#This Row],[Date]]</f>
        <v>49</v>
      </c>
      <c r="E841" t="s">
        <v>27</v>
      </c>
      <c r="F841" t="s">
        <v>32</v>
      </c>
      <c r="G841">
        <v>317</v>
      </c>
      <c r="H841" t="s">
        <v>26</v>
      </c>
      <c r="I841">
        <v>17</v>
      </c>
      <c r="J841">
        <v>20</v>
      </c>
      <c r="K841">
        <v>21</v>
      </c>
      <c r="L841">
        <v>20</v>
      </c>
      <c r="N841">
        <v>31</v>
      </c>
      <c r="O841">
        <v>24</v>
      </c>
      <c r="P841">
        <v>22</v>
      </c>
    </row>
    <row r="842" spans="1:23">
      <c r="A842">
        <v>841</v>
      </c>
      <c r="B842" s="1">
        <v>45372</v>
      </c>
      <c r="C842" s="1">
        <v>45421</v>
      </c>
      <c r="D842" s="29">
        <f>Tailordata[[#This Row],[DueDate]]-Tailordata[[#This Row],[Date]]</f>
        <v>49</v>
      </c>
      <c r="E842" t="s">
        <v>33</v>
      </c>
      <c r="F842" t="s">
        <v>32</v>
      </c>
      <c r="G842">
        <v>165</v>
      </c>
      <c r="H842" t="s">
        <v>31</v>
      </c>
      <c r="I842">
        <v>23</v>
      </c>
      <c r="J842">
        <v>49</v>
      </c>
      <c r="K842">
        <v>19</v>
      </c>
      <c r="L842">
        <v>16</v>
      </c>
      <c r="M842">
        <v>15</v>
      </c>
      <c r="N842">
        <v>47</v>
      </c>
      <c r="O842">
        <v>22</v>
      </c>
      <c r="Q842">
        <v>23</v>
      </c>
      <c r="R842">
        <v>16</v>
      </c>
    </row>
    <row r="843" spans="1:23">
      <c r="A843">
        <v>842</v>
      </c>
      <c r="B843" s="1">
        <v>45406</v>
      </c>
      <c r="C843" s="1">
        <v>45432</v>
      </c>
      <c r="D843" s="29">
        <f>Tailordata[[#This Row],[DueDate]]-Tailordata[[#This Row],[Date]]</f>
        <v>26</v>
      </c>
      <c r="E843" t="s">
        <v>22</v>
      </c>
      <c r="F843" t="s">
        <v>32</v>
      </c>
      <c r="G843">
        <v>343</v>
      </c>
      <c r="H843" t="s">
        <v>31</v>
      </c>
      <c r="I843">
        <v>19</v>
      </c>
      <c r="J843">
        <v>34</v>
      </c>
      <c r="K843">
        <v>22</v>
      </c>
      <c r="L843">
        <v>24</v>
      </c>
      <c r="M843">
        <v>17</v>
      </c>
    </row>
    <row r="844" spans="1:23">
      <c r="A844">
        <v>843</v>
      </c>
      <c r="B844" s="1">
        <v>45337</v>
      </c>
      <c r="C844" s="1">
        <v>45415</v>
      </c>
      <c r="D844" s="29">
        <f>Tailordata[[#This Row],[DueDate]]-Tailordata[[#This Row],[Date]]</f>
        <v>78</v>
      </c>
      <c r="E844" t="s">
        <v>27</v>
      </c>
      <c r="F844" t="s">
        <v>25</v>
      </c>
      <c r="G844">
        <v>466</v>
      </c>
      <c r="H844" t="s">
        <v>31</v>
      </c>
      <c r="I844">
        <v>21</v>
      </c>
      <c r="J844">
        <v>45</v>
      </c>
      <c r="K844">
        <v>20</v>
      </c>
      <c r="L844">
        <v>17</v>
      </c>
      <c r="N844">
        <v>38</v>
      </c>
      <c r="O844">
        <v>19</v>
      </c>
      <c r="P844">
        <v>17</v>
      </c>
    </row>
    <row r="845" spans="1:23">
      <c r="A845">
        <v>844</v>
      </c>
      <c r="B845" s="1">
        <v>45378</v>
      </c>
      <c r="C845" s="1">
        <v>45416</v>
      </c>
      <c r="D845" s="29">
        <f>Tailordata[[#This Row],[DueDate]]-Tailordata[[#This Row],[Date]]</f>
        <v>38</v>
      </c>
      <c r="E845" t="s">
        <v>22</v>
      </c>
      <c r="F845" t="s">
        <v>25</v>
      </c>
      <c r="G845">
        <v>263</v>
      </c>
      <c r="H845" t="s">
        <v>28</v>
      </c>
      <c r="I845">
        <v>15</v>
      </c>
      <c r="J845">
        <v>45</v>
      </c>
      <c r="K845">
        <v>19</v>
      </c>
      <c r="L845">
        <v>15</v>
      </c>
      <c r="M845">
        <v>17</v>
      </c>
    </row>
    <row r="846" spans="1:23">
      <c r="A846">
        <v>845</v>
      </c>
      <c r="B846" s="1">
        <v>45309</v>
      </c>
      <c r="C846" s="1">
        <v>45430</v>
      </c>
      <c r="D846" s="29">
        <f>Tailordata[[#This Row],[DueDate]]-Tailordata[[#This Row],[Date]]</f>
        <v>121</v>
      </c>
      <c r="E846" t="s">
        <v>33</v>
      </c>
      <c r="F846" t="s">
        <v>30</v>
      </c>
      <c r="G846">
        <v>65</v>
      </c>
      <c r="H846" t="s">
        <v>31</v>
      </c>
      <c r="I846">
        <v>24</v>
      </c>
      <c r="J846">
        <v>20</v>
      </c>
      <c r="K846">
        <v>17</v>
      </c>
      <c r="L846">
        <v>20</v>
      </c>
      <c r="M846">
        <v>22</v>
      </c>
      <c r="N846">
        <v>33</v>
      </c>
      <c r="O846">
        <v>20</v>
      </c>
      <c r="Q846">
        <v>17</v>
      </c>
      <c r="R846">
        <v>18</v>
      </c>
    </row>
    <row r="847" spans="1:23">
      <c r="A847">
        <v>846</v>
      </c>
      <c r="B847" s="1">
        <v>45386</v>
      </c>
      <c r="C847" s="1">
        <v>45434</v>
      </c>
      <c r="D847" s="29">
        <f>Tailordata[[#This Row],[DueDate]]-Tailordata[[#This Row],[Date]]</f>
        <v>48</v>
      </c>
      <c r="E847" t="s">
        <v>29</v>
      </c>
      <c r="F847" t="s">
        <v>32</v>
      </c>
      <c r="G847">
        <v>454</v>
      </c>
      <c r="H847" t="s">
        <v>31</v>
      </c>
      <c r="O847">
        <v>22</v>
      </c>
      <c r="Q847">
        <v>24</v>
      </c>
      <c r="R847">
        <v>21</v>
      </c>
      <c r="S847">
        <v>15</v>
      </c>
      <c r="T847">
        <v>14</v>
      </c>
      <c r="U847">
        <v>15</v>
      </c>
    </row>
    <row r="848" spans="1:23">
      <c r="A848">
        <v>847</v>
      </c>
      <c r="B848" s="1">
        <v>45376</v>
      </c>
      <c r="C848" s="1">
        <v>45425</v>
      </c>
      <c r="D848" s="29">
        <f>Tailordata[[#This Row],[DueDate]]-Tailordata[[#This Row],[Date]]</f>
        <v>49</v>
      </c>
      <c r="E848" t="s">
        <v>22</v>
      </c>
      <c r="F848" t="s">
        <v>30</v>
      </c>
      <c r="G848">
        <v>368</v>
      </c>
      <c r="H848" t="s">
        <v>28</v>
      </c>
      <c r="I848">
        <v>22</v>
      </c>
      <c r="J848">
        <v>41</v>
      </c>
      <c r="K848">
        <v>22</v>
      </c>
      <c r="L848">
        <v>19</v>
      </c>
      <c r="M848">
        <v>20</v>
      </c>
    </row>
    <row r="849" spans="1:23">
      <c r="A849">
        <v>848</v>
      </c>
      <c r="B849" s="1">
        <v>45400</v>
      </c>
      <c r="C849" s="1">
        <v>45416</v>
      </c>
      <c r="D849" s="29">
        <f>Tailordata[[#This Row],[DueDate]]-Tailordata[[#This Row],[Date]]</f>
        <v>16</v>
      </c>
      <c r="E849" t="s">
        <v>27</v>
      </c>
      <c r="F849" t="s">
        <v>30</v>
      </c>
      <c r="G849">
        <v>372</v>
      </c>
      <c r="H849" t="s">
        <v>24</v>
      </c>
      <c r="I849">
        <v>18</v>
      </c>
      <c r="J849">
        <v>33</v>
      </c>
      <c r="K849">
        <v>23</v>
      </c>
      <c r="L849">
        <v>21</v>
      </c>
      <c r="N849">
        <v>31</v>
      </c>
      <c r="O849">
        <v>23</v>
      </c>
      <c r="P849">
        <v>24</v>
      </c>
    </row>
    <row r="850" spans="1:23">
      <c r="A850">
        <v>849</v>
      </c>
      <c r="B850" s="1">
        <v>45375</v>
      </c>
      <c r="C850" s="1">
        <v>45433</v>
      </c>
      <c r="D850" s="29">
        <f>Tailordata[[#This Row],[DueDate]]-Tailordata[[#This Row],[Date]]</f>
        <v>58</v>
      </c>
      <c r="E850" t="s">
        <v>22</v>
      </c>
      <c r="F850" t="s">
        <v>36</v>
      </c>
      <c r="G850">
        <v>375</v>
      </c>
      <c r="H850" t="s">
        <v>28</v>
      </c>
      <c r="I850">
        <v>24</v>
      </c>
      <c r="J850">
        <v>38</v>
      </c>
      <c r="K850">
        <v>15</v>
      </c>
      <c r="L850">
        <v>20</v>
      </c>
      <c r="M850">
        <v>19</v>
      </c>
    </row>
    <row r="851" spans="1:23">
      <c r="A851">
        <v>850</v>
      </c>
      <c r="B851" s="1">
        <v>45369</v>
      </c>
      <c r="C851" s="1">
        <v>45421</v>
      </c>
      <c r="D851" s="29">
        <f>Tailordata[[#This Row],[DueDate]]-Tailordata[[#This Row],[Date]]</f>
        <v>52</v>
      </c>
      <c r="E851" t="s">
        <v>29</v>
      </c>
      <c r="F851" t="s">
        <v>25</v>
      </c>
      <c r="G851">
        <v>321</v>
      </c>
      <c r="H851" t="s">
        <v>34</v>
      </c>
      <c r="O851">
        <v>22</v>
      </c>
      <c r="Q851">
        <v>16</v>
      </c>
      <c r="R851">
        <v>24</v>
      </c>
      <c r="S851">
        <v>18</v>
      </c>
      <c r="T851">
        <v>19</v>
      </c>
      <c r="U851">
        <v>20</v>
      </c>
    </row>
    <row r="852" spans="1:23">
      <c r="A852">
        <v>851</v>
      </c>
      <c r="B852" s="1">
        <v>45340</v>
      </c>
      <c r="C852" s="1">
        <v>45425</v>
      </c>
      <c r="D852" s="29">
        <f>Tailordata[[#This Row],[DueDate]]-Tailordata[[#This Row],[Date]]</f>
        <v>85</v>
      </c>
      <c r="E852" t="s">
        <v>27</v>
      </c>
      <c r="F852" t="s">
        <v>32</v>
      </c>
      <c r="G852">
        <v>187</v>
      </c>
      <c r="H852" t="s">
        <v>26</v>
      </c>
      <c r="I852">
        <v>14</v>
      </c>
      <c r="J852">
        <v>36</v>
      </c>
      <c r="K852">
        <v>19</v>
      </c>
      <c r="L852">
        <v>18</v>
      </c>
      <c r="N852">
        <v>39</v>
      </c>
      <c r="O852">
        <v>18</v>
      </c>
      <c r="P852">
        <v>23</v>
      </c>
    </row>
    <row r="853" spans="1:23">
      <c r="A853">
        <v>852</v>
      </c>
      <c r="B853" s="1">
        <v>45371</v>
      </c>
      <c r="C853" s="1">
        <v>45425</v>
      </c>
      <c r="D853" s="29">
        <f>Tailordata[[#This Row],[DueDate]]-Tailordata[[#This Row],[Date]]</f>
        <v>54</v>
      </c>
      <c r="E853" t="s">
        <v>27</v>
      </c>
      <c r="F853" t="s">
        <v>32</v>
      </c>
      <c r="G853">
        <v>61</v>
      </c>
      <c r="H853" t="s">
        <v>31</v>
      </c>
      <c r="I853">
        <v>15</v>
      </c>
      <c r="J853">
        <v>37</v>
      </c>
      <c r="K853">
        <v>17</v>
      </c>
      <c r="L853">
        <v>23</v>
      </c>
      <c r="N853">
        <v>32</v>
      </c>
      <c r="O853">
        <v>24</v>
      </c>
      <c r="P853">
        <v>21</v>
      </c>
    </row>
    <row r="854" spans="1:23">
      <c r="A854">
        <v>853</v>
      </c>
      <c r="B854" s="1">
        <v>45335</v>
      </c>
      <c r="C854" s="1">
        <v>45432</v>
      </c>
      <c r="D854" s="29">
        <f>Tailordata[[#This Row],[DueDate]]-Tailordata[[#This Row],[Date]]</f>
        <v>97</v>
      </c>
      <c r="E854" t="s">
        <v>35</v>
      </c>
      <c r="F854" t="s">
        <v>32</v>
      </c>
      <c r="G854">
        <v>344</v>
      </c>
      <c r="H854" t="s">
        <v>34</v>
      </c>
      <c r="O854">
        <v>19</v>
      </c>
      <c r="P854">
        <v>22</v>
      </c>
      <c r="Q854">
        <v>14</v>
      </c>
      <c r="R854">
        <v>17</v>
      </c>
      <c r="U854">
        <v>22</v>
      </c>
      <c r="V854">
        <v>17</v>
      </c>
      <c r="W854">
        <v>23</v>
      </c>
    </row>
    <row r="855" spans="1:23">
      <c r="A855">
        <v>854</v>
      </c>
      <c r="B855" s="1">
        <v>45376</v>
      </c>
      <c r="C855" s="1">
        <v>45440</v>
      </c>
      <c r="D855" s="29">
        <f>Tailordata[[#This Row],[DueDate]]-Tailordata[[#This Row],[Date]]</f>
        <v>64</v>
      </c>
      <c r="E855" t="s">
        <v>33</v>
      </c>
      <c r="F855" t="s">
        <v>30</v>
      </c>
      <c r="G855">
        <v>480</v>
      </c>
      <c r="H855" t="s">
        <v>34</v>
      </c>
      <c r="I855">
        <v>19</v>
      </c>
      <c r="J855">
        <v>32</v>
      </c>
      <c r="K855">
        <v>17</v>
      </c>
      <c r="L855">
        <v>22</v>
      </c>
      <c r="M855">
        <v>15</v>
      </c>
      <c r="N855">
        <v>39</v>
      </c>
      <c r="O855">
        <v>20</v>
      </c>
      <c r="Q855">
        <v>21</v>
      </c>
      <c r="R855">
        <v>20</v>
      </c>
    </row>
    <row r="856" spans="1:23">
      <c r="A856">
        <v>855</v>
      </c>
      <c r="B856" s="1">
        <v>45351</v>
      </c>
      <c r="C856" s="1">
        <v>45421</v>
      </c>
      <c r="D856" s="29">
        <f>Tailordata[[#This Row],[DueDate]]-Tailordata[[#This Row],[Date]]</f>
        <v>70</v>
      </c>
      <c r="E856" t="s">
        <v>29</v>
      </c>
      <c r="F856" t="s">
        <v>36</v>
      </c>
      <c r="G856">
        <v>451</v>
      </c>
      <c r="H856" t="s">
        <v>24</v>
      </c>
      <c r="O856">
        <v>24</v>
      </c>
      <c r="Q856">
        <v>14</v>
      </c>
      <c r="R856">
        <v>21</v>
      </c>
      <c r="S856">
        <v>23</v>
      </c>
      <c r="T856">
        <v>17</v>
      </c>
      <c r="U856">
        <v>21</v>
      </c>
    </row>
    <row r="857" spans="1:23">
      <c r="A857">
        <v>856</v>
      </c>
      <c r="B857" s="1">
        <v>45369</v>
      </c>
      <c r="C857" s="1">
        <v>45425</v>
      </c>
      <c r="D857" s="29">
        <f>Tailordata[[#This Row],[DueDate]]-Tailordata[[#This Row],[Date]]</f>
        <v>56</v>
      </c>
      <c r="E857" t="s">
        <v>33</v>
      </c>
      <c r="F857" t="s">
        <v>30</v>
      </c>
      <c r="G857">
        <v>271</v>
      </c>
      <c r="H857" t="s">
        <v>24</v>
      </c>
      <c r="I857">
        <v>19</v>
      </c>
      <c r="J857">
        <v>29</v>
      </c>
      <c r="K857">
        <v>16</v>
      </c>
      <c r="L857">
        <v>24</v>
      </c>
      <c r="M857">
        <v>17</v>
      </c>
      <c r="N857">
        <v>21</v>
      </c>
      <c r="O857">
        <v>18</v>
      </c>
      <c r="Q857">
        <v>23</v>
      </c>
      <c r="R857">
        <v>17</v>
      </c>
    </row>
    <row r="858" spans="1:23">
      <c r="A858">
        <v>857</v>
      </c>
      <c r="B858" s="1">
        <v>45334</v>
      </c>
      <c r="C858" s="1">
        <v>45417</v>
      </c>
      <c r="D858" s="29">
        <f>Tailordata[[#This Row],[DueDate]]-Tailordata[[#This Row],[Date]]</f>
        <v>83</v>
      </c>
      <c r="E858" t="s">
        <v>33</v>
      </c>
      <c r="F858" t="s">
        <v>23</v>
      </c>
      <c r="G858">
        <v>328</v>
      </c>
      <c r="H858" t="s">
        <v>26</v>
      </c>
      <c r="I858">
        <v>19</v>
      </c>
      <c r="J858">
        <v>37</v>
      </c>
      <c r="K858">
        <v>17</v>
      </c>
      <c r="L858">
        <v>15</v>
      </c>
      <c r="M858">
        <v>16</v>
      </c>
      <c r="N858">
        <v>20</v>
      </c>
      <c r="O858">
        <v>16</v>
      </c>
      <c r="Q858">
        <v>16</v>
      </c>
      <c r="R858">
        <v>16</v>
      </c>
    </row>
    <row r="859" spans="1:23">
      <c r="A859">
        <v>858</v>
      </c>
      <c r="B859" s="1">
        <v>45407</v>
      </c>
      <c r="C859" s="1">
        <v>45440</v>
      </c>
      <c r="D859" s="29">
        <f>Tailordata[[#This Row],[DueDate]]-Tailordata[[#This Row],[Date]]</f>
        <v>33</v>
      </c>
      <c r="E859" t="s">
        <v>35</v>
      </c>
      <c r="F859" t="s">
        <v>23</v>
      </c>
      <c r="G859">
        <v>91</v>
      </c>
      <c r="H859" t="s">
        <v>28</v>
      </c>
      <c r="O859">
        <v>19</v>
      </c>
      <c r="P859">
        <v>15</v>
      </c>
      <c r="Q859">
        <v>19</v>
      </c>
      <c r="R859">
        <v>22</v>
      </c>
      <c r="U859">
        <v>15</v>
      </c>
      <c r="V859">
        <v>20</v>
      </c>
      <c r="W859">
        <v>18</v>
      </c>
    </row>
    <row r="860" spans="1:23">
      <c r="A860">
        <v>859</v>
      </c>
      <c r="B860" s="1">
        <v>45367</v>
      </c>
      <c r="C860" s="1">
        <v>45429</v>
      </c>
      <c r="D860" s="29">
        <f>Tailordata[[#This Row],[DueDate]]-Tailordata[[#This Row],[Date]]</f>
        <v>62</v>
      </c>
      <c r="E860" t="s">
        <v>33</v>
      </c>
      <c r="F860" t="s">
        <v>30</v>
      </c>
      <c r="G860">
        <v>102</v>
      </c>
      <c r="H860" t="s">
        <v>28</v>
      </c>
      <c r="I860">
        <v>23</v>
      </c>
      <c r="J860">
        <v>46</v>
      </c>
      <c r="K860">
        <v>19</v>
      </c>
      <c r="L860">
        <v>20</v>
      </c>
      <c r="M860">
        <v>17</v>
      </c>
      <c r="N860">
        <v>43</v>
      </c>
      <c r="O860">
        <v>16</v>
      </c>
      <c r="Q860">
        <v>16</v>
      </c>
      <c r="R860">
        <v>15</v>
      </c>
    </row>
    <row r="861" spans="1:23">
      <c r="A861">
        <v>860</v>
      </c>
      <c r="B861" s="1">
        <v>45402</v>
      </c>
      <c r="C861" s="1">
        <v>45414</v>
      </c>
      <c r="D861" s="29">
        <f>Tailordata[[#This Row],[DueDate]]-Tailordata[[#This Row],[Date]]</f>
        <v>12</v>
      </c>
      <c r="E861" t="s">
        <v>35</v>
      </c>
      <c r="F861" t="s">
        <v>32</v>
      </c>
      <c r="G861">
        <v>323</v>
      </c>
      <c r="H861" t="s">
        <v>28</v>
      </c>
      <c r="O861">
        <v>23</v>
      </c>
      <c r="P861">
        <v>19</v>
      </c>
      <c r="Q861">
        <v>19</v>
      </c>
      <c r="R861">
        <v>21</v>
      </c>
      <c r="U861">
        <v>18</v>
      </c>
      <c r="V861">
        <v>20</v>
      </c>
      <c r="W861">
        <v>15</v>
      </c>
    </row>
    <row r="862" spans="1:23">
      <c r="A862">
        <v>861</v>
      </c>
      <c r="B862" s="1">
        <v>45344</v>
      </c>
      <c r="C862" s="1">
        <v>45411</v>
      </c>
      <c r="D862" s="29">
        <f>Tailordata[[#This Row],[DueDate]]-Tailordata[[#This Row],[Date]]</f>
        <v>67</v>
      </c>
      <c r="E862" t="s">
        <v>29</v>
      </c>
      <c r="F862" t="s">
        <v>30</v>
      </c>
      <c r="G862">
        <v>427</v>
      </c>
      <c r="H862" t="s">
        <v>31</v>
      </c>
      <c r="O862">
        <v>15</v>
      </c>
      <c r="Q862">
        <v>19</v>
      </c>
      <c r="R862">
        <v>22</v>
      </c>
      <c r="S862">
        <v>16</v>
      </c>
      <c r="T862">
        <v>17</v>
      </c>
      <c r="U862">
        <v>22</v>
      </c>
    </row>
    <row r="863" spans="1:23">
      <c r="A863">
        <v>862</v>
      </c>
      <c r="B863" s="1">
        <v>45341</v>
      </c>
      <c r="C863" s="1">
        <v>45439</v>
      </c>
      <c r="D863" s="29">
        <f>Tailordata[[#This Row],[DueDate]]-Tailordata[[#This Row],[Date]]</f>
        <v>98</v>
      </c>
      <c r="E863" t="s">
        <v>35</v>
      </c>
      <c r="F863" t="s">
        <v>36</v>
      </c>
      <c r="G863">
        <v>289</v>
      </c>
      <c r="H863" t="s">
        <v>24</v>
      </c>
      <c r="O863">
        <v>22</v>
      </c>
      <c r="P863">
        <v>16</v>
      </c>
      <c r="Q863">
        <v>18</v>
      </c>
      <c r="R863">
        <v>17</v>
      </c>
      <c r="U863">
        <v>15</v>
      </c>
      <c r="V863">
        <v>23</v>
      </c>
      <c r="W863">
        <v>21</v>
      </c>
    </row>
    <row r="864" spans="1:23">
      <c r="A864">
        <v>863</v>
      </c>
      <c r="B864" s="1">
        <v>45346</v>
      </c>
      <c r="C864" s="1">
        <v>45433</v>
      </c>
      <c r="D864" s="29">
        <f>Tailordata[[#This Row],[DueDate]]-Tailordata[[#This Row],[Date]]</f>
        <v>87</v>
      </c>
      <c r="E864" t="s">
        <v>27</v>
      </c>
      <c r="F864" t="s">
        <v>32</v>
      </c>
      <c r="G864">
        <v>208</v>
      </c>
      <c r="H864" t="s">
        <v>31</v>
      </c>
      <c r="I864">
        <v>14</v>
      </c>
      <c r="J864">
        <v>29</v>
      </c>
      <c r="K864">
        <v>15</v>
      </c>
      <c r="L864">
        <v>24</v>
      </c>
      <c r="N864">
        <v>46</v>
      </c>
      <c r="O864">
        <v>14</v>
      </c>
      <c r="P864">
        <v>17</v>
      </c>
    </row>
    <row r="865" spans="1:23">
      <c r="A865">
        <v>864</v>
      </c>
      <c r="B865" s="1">
        <v>45292</v>
      </c>
      <c r="C865" s="1">
        <v>45424</v>
      </c>
      <c r="D865" s="29">
        <f>Tailordata[[#This Row],[DueDate]]-Tailordata[[#This Row],[Date]]</f>
        <v>132</v>
      </c>
      <c r="E865" t="s">
        <v>29</v>
      </c>
      <c r="F865" t="s">
        <v>25</v>
      </c>
      <c r="G865">
        <v>299</v>
      </c>
      <c r="H865" t="s">
        <v>24</v>
      </c>
      <c r="O865">
        <v>18</v>
      </c>
      <c r="Q865">
        <v>15</v>
      </c>
      <c r="R865">
        <v>19</v>
      </c>
      <c r="S865">
        <v>16</v>
      </c>
      <c r="T865">
        <v>14</v>
      </c>
      <c r="U865">
        <v>20</v>
      </c>
    </row>
    <row r="866" spans="1:23">
      <c r="A866">
        <v>865</v>
      </c>
      <c r="B866" s="1">
        <v>45389</v>
      </c>
      <c r="C866" s="1">
        <v>45424</v>
      </c>
      <c r="D866" s="29">
        <f>Tailordata[[#This Row],[DueDate]]-Tailordata[[#This Row],[Date]]</f>
        <v>35</v>
      </c>
      <c r="E866" t="s">
        <v>22</v>
      </c>
      <c r="F866" t="s">
        <v>30</v>
      </c>
      <c r="G866">
        <v>265</v>
      </c>
      <c r="H866" t="s">
        <v>24</v>
      </c>
      <c r="I866">
        <v>21</v>
      </c>
      <c r="J866">
        <v>31</v>
      </c>
      <c r="K866">
        <v>24</v>
      </c>
      <c r="L866">
        <v>22</v>
      </c>
      <c r="M866">
        <v>17</v>
      </c>
    </row>
    <row r="867" spans="1:23">
      <c r="A867">
        <v>866</v>
      </c>
      <c r="B867" s="1">
        <v>45400</v>
      </c>
      <c r="C867" s="1">
        <v>45420</v>
      </c>
      <c r="D867" s="29">
        <f>Tailordata[[#This Row],[DueDate]]-Tailordata[[#This Row],[Date]]</f>
        <v>20</v>
      </c>
      <c r="E867" t="s">
        <v>33</v>
      </c>
      <c r="F867" t="s">
        <v>36</v>
      </c>
      <c r="G867">
        <v>415</v>
      </c>
      <c r="H867" t="s">
        <v>34</v>
      </c>
      <c r="I867">
        <v>18</v>
      </c>
      <c r="J867">
        <v>46</v>
      </c>
      <c r="K867">
        <v>18</v>
      </c>
      <c r="L867">
        <v>16</v>
      </c>
      <c r="M867">
        <v>15</v>
      </c>
      <c r="N867">
        <v>23</v>
      </c>
      <c r="O867">
        <v>22</v>
      </c>
      <c r="Q867">
        <v>16</v>
      </c>
      <c r="R867">
        <v>18</v>
      </c>
    </row>
    <row r="868" spans="1:23">
      <c r="A868">
        <v>867</v>
      </c>
      <c r="B868" s="1">
        <v>45382</v>
      </c>
      <c r="C868" s="1">
        <v>45412</v>
      </c>
      <c r="D868" s="29">
        <f>Tailordata[[#This Row],[DueDate]]-Tailordata[[#This Row],[Date]]</f>
        <v>30</v>
      </c>
      <c r="E868" t="s">
        <v>27</v>
      </c>
      <c r="F868" t="s">
        <v>25</v>
      </c>
      <c r="G868">
        <v>274</v>
      </c>
      <c r="H868" t="s">
        <v>28</v>
      </c>
      <c r="I868">
        <v>22</v>
      </c>
      <c r="J868">
        <v>41</v>
      </c>
      <c r="K868">
        <v>24</v>
      </c>
      <c r="L868">
        <v>16</v>
      </c>
      <c r="N868">
        <v>43</v>
      </c>
      <c r="O868">
        <v>21</v>
      </c>
      <c r="P868">
        <v>21</v>
      </c>
    </row>
    <row r="869" spans="1:23">
      <c r="A869">
        <v>868</v>
      </c>
      <c r="B869" s="1">
        <v>45374</v>
      </c>
      <c r="C869" s="1">
        <v>45425</v>
      </c>
      <c r="D869" s="29">
        <f>Tailordata[[#This Row],[DueDate]]-Tailordata[[#This Row],[Date]]</f>
        <v>51</v>
      </c>
      <c r="E869" t="s">
        <v>33</v>
      </c>
      <c r="F869" t="s">
        <v>30</v>
      </c>
      <c r="G869">
        <v>433</v>
      </c>
      <c r="H869" t="s">
        <v>31</v>
      </c>
      <c r="I869">
        <v>19</v>
      </c>
      <c r="J869">
        <v>20</v>
      </c>
      <c r="K869">
        <v>14</v>
      </c>
      <c r="L869">
        <v>14</v>
      </c>
      <c r="M869">
        <v>22</v>
      </c>
      <c r="N869">
        <v>33</v>
      </c>
      <c r="O869">
        <v>23</v>
      </c>
      <c r="Q869">
        <v>24</v>
      </c>
      <c r="R869">
        <v>20</v>
      </c>
    </row>
    <row r="870" spans="1:23">
      <c r="A870">
        <v>869</v>
      </c>
      <c r="B870" s="1">
        <v>45329</v>
      </c>
      <c r="C870" s="1">
        <v>45412</v>
      </c>
      <c r="D870" s="29">
        <f>Tailordata[[#This Row],[DueDate]]-Tailordata[[#This Row],[Date]]</f>
        <v>83</v>
      </c>
      <c r="E870" t="s">
        <v>33</v>
      </c>
      <c r="F870" t="s">
        <v>32</v>
      </c>
      <c r="G870">
        <v>202</v>
      </c>
      <c r="H870" t="s">
        <v>31</v>
      </c>
      <c r="I870">
        <v>14</v>
      </c>
      <c r="J870">
        <v>26</v>
      </c>
      <c r="K870">
        <v>20</v>
      </c>
      <c r="L870">
        <v>24</v>
      </c>
      <c r="M870">
        <v>22</v>
      </c>
      <c r="N870">
        <v>29</v>
      </c>
      <c r="O870">
        <v>22</v>
      </c>
      <c r="Q870">
        <v>15</v>
      </c>
      <c r="R870">
        <v>22</v>
      </c>
    </row>
    <row r="871" spans="1:23">
      <c r="A871">
        <v>870</v>
      </c>
      <c r="B871" s="1">
        <v>45343</v>
      </c>
      <c r="C871" s="1">
        <v>45421</v>
      </c>
      <c r="D871" s="29">
        <f>Tailordata[[#This Row],[DueDate]]-Tailordata[[#This Row],[Date]]</f>
        <v>78</v>
      </c>
      <c r="E871" t="s">
        <v>33</v>
      </c>
      <c r="F871" t="s">
        <v>23</v>
      </c>
      <c r="G871">
        <v>462</v>
      </c>
      <c r="H871" t="s">
        <v>31</v>
      </c>
      <c r="I871">
        <v>23</v>
      </c>
      <c r="J871">
        <v>23</v>
      </c>
      <c r="K871">
        <v>17</v>
      </c>
      <c r="L871">
        <v>24</v>
      </c>
      <c r="M871">
        <v>17</v>
      </c>
      <c r="N871">
        <v>44</v>
      </c>
      <c r="O871">
        <v>24</v>
      </c>
      <c r="Q871">
        <v>14</v>
      </c>
      <c r="R871">
        <v>21</v>
      </c>
    </row>
    <row r="872" spans="1:23">
      <c r="A872">
        <v>871</v>
      </c>
      <c r="B872" s="1">
        <v>45398</v>
      </c>
      <c r="C872" s="1">
        <v>45413</v>
      </c>
      <c r="D872" s="29">
        <f>Tailordata[[#This Row],[DueDate]]-Tailordata[[#This Row],[Date]]</f>
        <v>15</v>
      </c>
      <c r="E872" t="s">
        <v>27</v>
      </c>
      <c r="F872" t="s">
        <v>32</v>
      </c>
      <c r="G872">
        <v>286</v>
      </c>
      <c r="H872" t="s">
        <v>24</v>
      </c>
      <c r="I872">
        <v>14</v>
      </c>
      <c r="J872">
        <v>37</v>
      </c>
      <c r="K872">
        <v>23</v>
      </c>
      <c r="L872">
        <v>20</v>
      </c>
      <c r="N872">
        <v>46</v>
      </c>
      <c r="O872">
        <v>16</v>
      </c>
      <c r="P872">
        <v>17</v>
      </c>
    </row>
    <row r="873" spans="1:23">
      <c r="A873">
        <v>872</v>
      </c>
      <c r="B873" s="1">
        <v>45390</v>
      </c>
      <c r="C873" s="1">
        <v>45416</v>
      </c>
      <c r="D873" s="29">
        <f>Tailordata[[#This Row],[DueDate]]-Tailordata[[#This Row],[Date]]</f>
        <v>26</v>
      </c>
      <c r="E873" t="s">
        <v>35</v>
      </c>
      <c r="F873" t="s">
        <v>23</v>
      </c>
      <c r="G873">
        <v>384</v>
      </c>
      <c r="H873" t="s">
        <v>26</v>
      </c>
      <c r="O873">
        <v>19</v>
      </c>
      <c r="P873">
        <v>21</v>
      </c>
      <c r="Q873">
        <v>17</v>
      </c>
      <c r="R873">
        <v>23</v>
      </c>
      <c r="U873">
        <v>23</v>
      </c>
      <c r="V873">
        <v>22</v>
      </c>
      <c r="W873">
        <v>23</v>
      </c>
    </row>
    <row r="874" spans="1:23">
      <c r="A874">
        <v>873</v>
      </c>
      <c r="B874" s="1">
        <v>45323</v>
      </c>
      <c r="C874" s="1">
        <v>45427</v>
      </c>
      <c r="D874" s="29">
        <f>Tailordata[[#This Row],[DueDate]]-Tailordata[[#This Row],[Date]]</f>
        <v>104</v>
      </c>
      <c r="E874" t="s">
        <v>29</v>
      </c>
      <c r="F874" t="s">
        <v>23</v>
      </c>
      <c r="G874">
        <v>482</v>
      </c>
      <c r="H874" t="s">
        <v>26</v>
      </c>
      <c r="O874">
        <v>22</v>
      </c>
      <c r="Q874">
        <v>17</v>
      </c>
      <c r="R874">
        <v>21</v>
      </c>
      <c r="S874">
        <v>20</v>
      </c>
      <c r="T874">
        <v>14</v>
      </c>
      <c r="U874">
        <v>19</v>
      </c>
    </row>
    <row r="875" spans="1:23">
      <c r="A875">
        <v>874</v>
      </c>
      <c r="B875" s="1">
        <v>45325</v>
      </c>
      <c r="C875" s="1">
        <v>45425</v>
      </c>
      <c r="D875" s="29">
        <f>Tailordata[[#This Row],[DueDate]]-Tailordata[[#This Row],[Date]]</f>
        <v>100</v>
      </c>
      <c r="E875" t="s">
        <v>33</v>
      </c>
      <c r="F875" t="s">
        <v>25</v>
      </c>
      <c r="G875">
        <v>292</v>
      </c>
      <c r="H875" t="s">
        <v>26</v>
      </c>
      <c r="I875">
        <v>17</v>
      </c>
      <c r="J875">
        <v>21</v>
      </c>
      <c r="K875">
        <v>22</v>
      </c>
      <c r="L875">
        <v>22</v>
      </c>
      <c r="M875">
        <v>24</v>
      </c>
      <c r="N875">
        <v>49</v>
      </c>
      <c r="O875">
        <v>14</v>
      </c>
      <c r="Q875">
        <v>18</v>
      </c>
      <c r="R875">
        <v>23</v>
      </c>
    </row>
    <row r="876" spans="1:23">
      <c r="A876">
        <v>875</v>
      </c>
      <c r="B876" s="1">
        <v>45299</v>
      </c>
      <c r="C876" s="1">
        <v>45426</v>
      </c>
      <c r="D876" s="29">
        <f>Tailordata[[#This Row],[DueDate]]-Tailordata[[#This Row],[Date]]</f>
        <v>127</v>
      </c>
      <c r="E876" t="s">
        <v>29</v>
      </c>
      <c r="F876" t="s">
        <v>25</v>
      </c>
      <c r="G876">
        <v>177</v>
      </c>
      <c r="H876" t="s">
        <v>28</v>
      </c>
      <c r="O876">
        <v>20</v>
      </c>
      <c r="Q876">
        <v>21</v>
      </c>
      <c r="R876">
        <v>18</v>
      </c>
      <c r="S876">
        <v>14</v>
      </c>
      <c r="T876">
        <v>17</v>
      </c>
      <c r="U876">
        <v>15</v>
      </c>
    </row>
    <row r="877" spans="1:23">
      <c r="A877">
        <v>876</v>
      </c>
      <c r="B877" s="1">
        <v>45404</v>
      </c>
      <c r="C877" s="1">
        <v>45422</v>
      </c>
      <c r="D877" s="29">
        <f>Tailordata[[#This Row],[DueDate]]-Tailordata[[#This Row],[Date]]</f>
        <v>18</v>
      </c>
      <c r="E877" t="s">
        <v>22</v>
      </c>
      <c r="F877" t="s">
        <v>23</v>
      </c>
      <c r="G877">
        <v>202</v>
      </c>
      <c r="H877" t="s">
        <v>28</v>
      </c>
      <c r="I877">
        <v>24</v>
      </c>
      <c r="J877">
        <v>39</v>
      </c>
      <c r="K877">
        <v>19</v>
      </c>
      <c r="L877">
        <v>14</v>
      </c>
      <c r="M877">
        <v>18</v>
      </c>
    </row>
    <row r="878" spans="1:23">
      <c r="A878">
        <v>877</v>
      </c>
      <c r="B878" s="1">
        <v>45386</v>
      </c>
      <c r="C878" s="1">
        <v>45427</v>
      </c>
      <c r="D878" s="29">
        <f>Tailordata[[#This Row],[DueDate]]-Tailordata[[#This Row],[Date]]</f>
        <v>41</v>
      </c>
      <c r="E878" t="s">
        <v>22</v>
      </c>
      <c r="F878" t="s">
        <v>25</v>
      </c>
      <c r="G878">
        <v>333</v>
      </c>
      <c r="H878" t="s">
        <v>24</v>
      </c>
      <c r="I878">
        <v>22</v>
      </c>
      <c r="J878">
        <v>26</v>
      </c>
      <c r="K878">
        <v>20</v>
      </c>
      <c r="L878">
        <v>24</v>
      </c>
      <c r="M878">
        <v>19</v>
      </c>
    </row>
    <row r="879" spans="1:23">
      <c r="A879">
        <v>878</v>
      </c>
      <c r="B879" s="1">
        <v>45372</v>
      </c>
      <c r="C879" s="1">
        <v>45432</v>
      </c>
      <c r="D879" s="29">
        <f>Tailordata[[#This Row],[DueDate]]-Tailordata[[#This Row],[Date]]</f>
        <v>60</v>
      </c>
      <c r="E879" t="s">
        <v>29</v>
      </c>
      <c r="F879" t="s">
        <v>36</v>
      </c>
      <c r="G879">
        <v>80</v>
      </c>
      <c r="H879" t="s">
        <v>24</v>
      </c>
      <c r="O879">
        <v>18</v>
      </c>
      <c r="Q879">
        <v>23</v>
      </c>
      <c r="R879">
        <v>16</v>
      </c>
      <c r="S879">
        <v>24</v>
      </c>
      <c r="T879">
        <v>19</v>
      </c>
      <c r="U879">
        <v>18</v>
      </c>
    </row>
    <row r="880" spans="1:23">
      <c r="A880">
        <v>879</v>
      </c>
      <c r="B880" s="1">
        <v>45396</v>
      </c>
      <c r="C880" s="1">
        <v>45411</v>
      </c>
      <c r="D880" s="29">
        <f>Tailordata[[#This Row],[DueDate]]-Tailordata[[#This Row],[Date]]</f>
        <v>15</v>
      </c>
      <c r="E880" t="s">
        <v>22</v>
      </c>
      <c r="F880" t="s">
        <v>25</v>
      </c>
      <c r="G880">
        <v>466</v>
      </c>
      <c r="H880" t="s">
        <v>26</v>
      </c>
      <c r="I880">
        <v>23</v>
      </c>
      <c r="J880">
        <v>46</v>
      </c>
      <c r="K880">
        <v>23</v>
      </c>
      <c r="L880">
        <v>17</v>
      </c>
      <c r="M880">
        <v>20</v>
      </c>
    </row>
    <row r="881" spans="1:23">
      <c r="A881">
        <v>880</v>
      </c>
      <c r="B881" s="1">
        <v>45392</v>
      </c>
      <c r="C881" s="1">
        <v>45432</v>
      </c>
      <c r="D881" s="29">
        <f>Tailordata[[#This Row],[DueDate]]-Tailordata[[#This Row],[Date]]</f>
        <v>40</v>
      </c>
      <c r="E881" t="s">
        <v>35</v>
      </c>
      <c r="F881" t="s">
        <v>36</v>
      </c>
      <c r="G881">
        <v>153</v>
      </c>
      <c r="H881" t="s">
        <v>31</v>
      </c>
      <c r="O881">
        <v>16</v>
      </c>
      <c r="P881">
        <v>21</v>
      </c>
      <c r="Q881">
        <v>22</v>
      </c>
      <c r="R881">
        <v>20</v>
      </c>
      <c r="U881">
        <v>23</v>
      </c>
      <c r="V881">
        <v>22</v>
      </c>
      <c r="W881">
        <v>24</v>
      </c>
    </row>
    <row r="882" spans="1:23">
      <c r="A882">
        <v>881</v>
      </c>
      <c r="B882" s="1">
        <v>45295</v>
      </c>
      <c r="C882" s="1">
        <v>45418</v>
      </c>
      <c r="D882" s="29">
        <f>Tailordata[[#This Row],[DueDate]]-Tailordata[[#This Row],[Date]]</f>
        <v>123</v>
      </c>
      <c r="E882" t="s">
        <v>22</v>
      </c>
      <c r="F882" t="s">
        <v>32</v>
      </c>
      <c r="G882">
        <v>440</v>
      </c>
      <c r="H882" t="s">
        <v>24</v>
      </c>
      <c r="I882">
        <v>23</v>
      </c>
      <c r="J882">
        <v>32</v>
      </c>
      <c r="K882">
        <v>20</v>
      </c>
      <c r="L882">
        <v>14</v>
      </c>
      <c r="M882">
        <v>22</v>
      </c>
    </row>
    <row r="883" spans="1:23">
      <c r="A883">
        <v>882</v>
      </c>
      <c r="B883" s="1">
        <v>45384</v>
      </c>
      <c r="C883" s="1">
        <v>45435</v>
      </c>
      <c r="D883" s="29">
        <f>Tailordata[[#This Row],[DueDate]]-Tailordata[[#This Row],[Date]]</f>
        <v>51</v>
      </c>
      <c r="E883" t="s">
        <v>33</v>
      </c>
      <c r="F883" t="s">
        <v>25</v>
      </c>
      <c r="G883">
        <v>337</v>
      </c>
      <c r="H883" t="s">
        <v>26</v>
      </c>
      <c r="I883">
        <v>14</v>
      </c>
      <c r="J883">
        <v>41</v>
      </c>
      <c r="K883">
        <v>21</v>
      </c>
      <c r="L883">
        <v>21</v>
      </c>
      <c r="M883">
        <v>22</v>
      </c>
      <c r="N883">
        <v>21</v>
      </c>
      <c r="O883">
        <v>15</v>
      </c>
      <c r="Q883">
        <v>20</v>
      </c>
      <c r="R883">
        <v>21</v>
      </c>
    </row>
    <row r="884" spans="1:23">
      <c r="A884">
        <v>883</v>
      </c>
      <c r="B884" s="1">
        <v>45349</v>
      </c>
      <c r="C884" s="1">
        <v>45426</v>
      </c>
      <c r="D884" s="29">
        <f>Tailordata[[#This Row],[DueDate]]-Tailordata[[#This Row],[Date]]</f>
        <v>77</v>
      </c>
      <c r="E884" t="s">
        <v>35</v>
      </c>
      <c r="F884" t="s">
        <v>32</v>
      </c>
      <c r="G884">
        <v>350</v>
      </c>
      <c r="H884" t="s">
        <v>26</v>
      </c>
      <c r="O884">
        <v>14</v>
      </c>
      <c r="P884">
        <v>18</v>
      </c>
      <c r="Q884">
        <v>18</v>
      </c>
      <c r="R884">
        <v>18</v>
      </c>
      <c r="U884">
        <v>24</v>
      </c>
      <c r="V884">
        <v>17</v>
      </c>
      <c r="W884">
        <v>17</v>
      </c>
    </row>
    <row r="885" spans="1:23">
      <c r="A885">
        <v>884</v>
      </c>
      <c r="B885" s="1">
        <v>45353</v>
      </c>
      <c r="C885" s="1">
        <v>45430</v>
      </c>
      <c r="D885" s="29">
        <f>Tailordata[[#This Row],[DueDate]]-Tailordata[[#This Row],[Date]]</f>
        <v>77</v>
      </c>
      <c r="E885" t="s">
        <v>35</v>
      </c>
      <c r="F885" t="s">
        <v>25</v>
      </c>
      <c r="G885">
        <v>401</v>
      </c>
      <c r="H885" t="s">
        <v>24</v>
      </c>
      <c r="O885">
        <v>23</v>
      </c>
      <c r="P885">
        <v>22</v>
      </c>
      <c r="Q885">
        <v>24</v>
      </c>
      <c r="R885">
        <v>16</v>
      </c>
      <c r="U885">
        <v>22</v>
      </c>
      <c r="V885">
        <v>21</v>
      </c>
      <c r="W885">
        <v>19</v>
      </c>
    </row>
    <row r="886" spans="1:23">
      <c r="A886">
        <v>885</v>
      </c>
      <c r="B886" s="1">
        <v>45321</v>
      </c>
      <c r="C886" s="1">
        <v>45420</v>
      </c>
      <c r="D886" s="29">
        <f>Tailordata[[#This Row],[DueDate]]-Tailordata[[#This Row],[Date]]</f>
        <v>99</v>
      </c>
      <c r="E886" t="s">
        <v>35</v>
      </c>
      <c r="F886" t="s">
        <v>36</v>
      </c>
      <c r="G886">
        <v>226</v>
      </c>
      <c r="H886" t="s">
        <v>28</v>
      </c>
      <c r="O886">
        <v>18</v>
      </c>
      <c r="P886">
        <v>17</v>
      </c>
      <c r="Q886">
        <v>16</v>
      </c>
      <c r="R886">
        <v>19</v>
      </c>
      <c r="U886">
        <v>16</v>
      </c>
      <c r="V886">
        <v>21</v>
      </c>
      <c r="W886">
        <v>23</v>
      </c>
    </row>
    <row r="887" spans="1:23">
      <c r="A887">
        <v>886</v>
      </c>
      <c r="B887" s="1">
        <v>45372</v>
      </c>
      <c r="C887" s="1">
        <v>45426</v>
      </c>
      <c r="D887" s="29">
        <f>Tailordata[[#This Row],[DueDate]]-Tailordata[[#This Row],[Date]]</f>
        <v>54</v>
      </c>
      <c r="E887" t="s">
        <v>33</v>
      </c>
      <c r="F887" t="s">
        <v>36</v>
      </c>
      <c r="G887">
        <v>149</v>
      </c>
      <c r="H887" t="s">
        <v>28</v>
      </c>
      <c r="I887">
        <v>24</v>
      </c>
      <c r="J887">
        <v>34</v>
      </c>
      <c r="K887">
        <v>14</v>
      </c>
      <c r="L887">
        <v>24</v>
      </c>
      <c r="M887">
        <v>21</v>
      </c>
      <c r="N887">
        <v>31</v>
      </c>
      <c r="O887">
        <v>22</v>
      </c>
      <c r="Q887">
        <v>23</v>
      </c>
      <c r="R887">
        <v>14</v>
      </c>
    </row>
    <row r="888" spans="1:23">
      <c r="A888">
        <v>887</v>
      </c>
      <c r="B888" s="1">
        <v>45354</v>
      </c>
      <c r="C888" s="1">
        <v>45421</v>
      </c>
      <c r="D888" s="29">
        <f>Tailordata[[#This Row],[DueDate]]-Tailordata[[#This Row],[Date]]</f>
        <v>67</v>
      </c>
      <c r="E888" t="s">
        <v>29</v>
      </c>
      <c r="F888" t="s">
        <v>23</v>
      </c>
      <c r="G888">
        <v>150</v>
      </c>
      <c r="H888" t="s">
        <v>26</v>
      </c>
      <c r="O888">
        <v>14</v>
      </c>
      <c r="Q888">
        <v>17</v>
      </c>
      <c r="R888">
        <v>15</v>
      </c>
      <c r="S888">
        <v>21</v>
      </c>
      <c r="T888">
        <v>18</v>
      </c>
      <c r="U888">
        <v>16</v>
      </c>
    </row>
    <row r="889" spans="1:23">
      <c r="A889">
        <v>888</v>
      </c>
      <c r="B889" s="1">
        <v>45335</v>
      </c>
      <c r="C889" s="1">
        <v>45412</v>
      </c>
      <c r="D889" s="29">
        <f>Tailordata[[#This Row],[DueDate]]-Tailordata[[#This Row],[Date]]</f>
        <v>77</v>
      </c>
      <c r="E889" t="s">
        <v>27</v>
      </c>
      <c r="F889" t="s">
        <v>32</v>
      </c>
      <c r="G889">
        <v>180</v>
      </c>
      <c r="H889" t="s">
        <v>31</v>
      </c>
      <c r="I889">
        <v>18</v>
      </c>
      <c r="J889">
        <v>25</v>
      </c>
      <c r="K889">
        <v>23</v>
      </c>
      <c r="L889">
        <v>18</v>
      </c>
      <c r="N889">
        <v>21</v>
      </c>
      <c r="O889">
        <v>17</v>
      </c>
      <c r="P889">
        <v>22</v>
      </c>
    </row>
    <row r="890" spans="1:23">
      <c r="A890">
        <v>889</v>
      </c>
      <c r="B890" s="1">
        <v>45404</v>
      </c>
      <c r="C890" s="1">
        <v>45430</v>
      </c>
      <c r="D890" s="29">
        <f>Tailordata[[#This Row],[DueDate]]-Tailordata[[#This Row],[Date]]</f>
        <v>26</v>
      </c>
      <c r="E890" t="s">
        <v>22</v>
      </c>
      <c r="F890" t="s">
        <v>25</v>
      </c>
      <c r="G890">
        <v>418</v>
      </c>
      <c r="H890" t="s">
        <v>31</v>
      </c>
      <c r="I890">
        <v>22</v>
      </c>
      <c r="J890">
        <v>47</v>
      </c>
      <c r="K890">
        <v>21</v>
      </c>
      <c r="L890">
        <v>23</v>
      </c>
      <c r="M890">
        <v>24</v>
      </c>
    </row>
    <row r="891" spans="1:23">
      <c r="A891">
        <v>890</v>
      </c>
      <c r="B891" s="1">
        <v>45302</v>
      </c>
      <c r="C891" s="1">
        <v>45427</v>
      </c>
      <c r="D891" s="29">
        <f>Tailordata[[#This Row],[DueDate]]-Tailordata[[#This Row],[Date]]</f>
        <v>125</v>
      </c>
      <c r="E891" t="s">
        <v>35</v>
      </c>
      <c r="F891" t="s">
        <v>25</v>
      </c>
      <c r="G891">
        <v>329</v>
      </c>
      <c r="H891" t="s">
        <v>24</v>
      </c>
      <c r="O891">
        <v>24</v>
      </c>
      <c r="P891">
        <v>20</v>
      </c>
      <c r="Q891">
        <v>24</v>
      </c>
      <c r="R891">
        <v>23</v>
      </c>
      <c r="U891">
        <v>14</v>
      </c>
      <c r="V891">
        <v>17</v>
      </c>
      <c r="W891">
        <v>18</v>
      </c>
    </row>
    <row r="892" spans="1:23">
      <c r="A892">
        <v>891</v>
      </c>
      <c r="B892" s="1">
        <v>45382</v>
      </c>
      <c r="C892" s="1">
        <v>45418</v>
      </c>
      <c r="D892" s="29">
        <f>Tailordata[[#This Row],[DueDate]]-Tailordata[[#This Row],[Date]]</f>
        <v>36</v>
      </c>
      <c r="E892" t="s">
        <v>33</v>
      </c>
      <c r="F892" t="s">
        <v>30</v>
      </c>
      <c r="G892">
        <v>251</v>
      </c>
      <c r="H892" t="s">
        <v>24</v>
      </c>
      <c r="I892">
        <v>15</v>
      </c>
      <c r="J892">
        <v>21</v>
      </c>
      <c r="K892">
        <v>19</v>
      </c>
      <c r="L892">
        <v>15</v>
      </c>
      <c r="M892">
        <v>18</v>
      </c>
      <c r="N892">
        <v>29</v>
      </c>
      <c r="O892">
        <v>16</v>
      </c>
      <c r="Q892">
        <v>24</v>
      </c>
      <c r="R892">
        <v>22</v>
      </c>
    </row>
    <row r="893" spans="1:23">
      <c r="A893">
        <v>892</v>
      </c>
      <c r="B893" s="1">
        <v>45295</v>
      </c>
      <c r="C893" s="1">
        <v>45425</v>
      </c>
      <c r="D893" s="29">
        <f>Tailordata[[#This Row],[DueDate]]-Tailordata[[#This Row],[Date]]</f>
        <v>130</v>
      </c>
      <c r="E893" t="s">
        <v>27</v>
      </c>
      <c r="F893" t="s">
        <v>30</v>
      </c>
      <c r="G893">
        <v>51</v>
      </c>
      <c r="H893" t="s">
        <v>26</v>
      </c>
      <c r="I893">
        <v>17</v>
      </c>
      <c r="J893">
        <v>28</v>
      </c>
      <c r="K893">
        <v>18</v>
      </c>
      <c r="L893">
        <v>16</v>
      </c>
      <c r="N893">
        <v>50</v>
      </c>
      <c r="O893">
        <v>16</v>
      </c>
      <c r="P893">
        <v>15</v>
      </c>
    </row>
    <row r="894" spans="1:23">
      <c r="A894">
        <v>893</v>
      </c>
      <c r="B894" s="1">
        <v>45396</v>
      </c>
      <c r="C894" s="1">
        <v>45419</v>
      </c>
      <c r="D894" s="29">
        <f>Tailordata[[#This Row],[DueDate]]-Tailordata[[#This Row],[Date]]</f>
        <v>23</v>
      </c>
      <c r="E894" t="s">
        <v>35</v>
      </c>
      <c r="F894" t="s">
        <v>32</v>
      </c>
      <c r="G894">
        <v>61</v>
      </c>
      <c r="H894" t="s">
        <v>28</v>
      </c>
      <c r="O894">
        <v>15</v>
      </c>
      <c r="P894">
        <v>21</v>
      </c>
      <c r="Q894">
        <v>23</v>
      </c>
      <c r="R894">
        <v>15</v>
      </c>
      <c r="U894">
        <v>15</v>
      </c>
      <c r="V894">
        <v>20</v>
      </c>
      <c r="W894">
        <v>23</v>
      </c>
    </row>
    <row r="895" spans="1:23">
      <c r="A895">
        <v>894</v>
      </c>
      <c r="B895" s="1">
        <v>45345</v>
      </c>
      <c r="C895" s="1">
        <v>45430</v>
      </c>
      <c r="D895" s="29">
        <f>Tailordata[[#This Row],[DueDate]]-Tailordata[[#This Row],[Date]]</f>
        <v>85</v>
      </c>
      <c r="E895" t="s">
        <v>27</v>
      </c>
      <c r="F895" t="s">
        <v>23</v>
      </c>
      <c r="G895">
        <v>406</v>
      </c>
      <c r="H895" t="s">
        <v>26</v>
      </c>
      <c r="I895">
        <v>24</v>
      </c>
      <c r="J895">
        <v>25</v>
      </c>
      <c r="K895">
        <v>21</v>
      </c>
      <c r="L895">
        <v>23</v>
      </c>
      <c r="N895">
        <v>30</v>
      </c>
      <c r="O895">
        <v>17</v>
      </c>
      <c r="P895">
        <v>21</v>
      </c>
    </row>
    <row r="896" spans="1:23">
      <c r="A896">
        <v>895</v>
      </c>
      <c r="B896" s="1">
        <v>45327</v>
      </c>
      <c r="C896" s="1">
        <v>45438</v>
      </c>
      <c r="D896" s="29">
        <f>Tailordata[[#This Row],[DueDate]]-Tailordata[[#This Row],[Date]]</f>
        <v>111</v>
      </c>
      <c r="E896" t="s">
        <v>27</v>
      </c>
      <c r="F896" t="s">
        <v>36</v>
      </c>
      <c r="G896">
        <v>333</v>
      </c>
      <c r="H896" t="s">
        <v>26</v>
      </c>
      <c r="I896">
        <v>19</v>
      </c>
      <c r="J896">
        <v>25</v>
      </c>
      <c r="K896">
        <v>14</v>
      </c>
      <c r="L896">
        <v>14</v>
      </c>
      <c r="N896">
        <v>22</v>
      </c>
      <c r="O896">
        <v>15</v>
      </c>
      <c r="P896">
        <v>17</v>
      </c>
    </row>
    <row r="897" spans="1:23">
      <c r="A897">
        <v>896</v>
      </c>
      <c r="B897" s="1">
        <v>45324</v>
      </c>
      <c r="C897" s="1">
        <v>45428</v>
      </c>
      <c r="D897" s="29">
        <f>Tailordata[[#This Row],[DueDate]]-Tailordata[[#This Row],[Date]]</f>
        <v>104</v>
      </c>
      <c r="E897" t="s">
        <v>22</v>
      </c>
      <c r="F897" t="s">
        <v>32</v>
      </c>
      <c r="G897">
        <v>224</v>
      </c>
      <c r="H897" t="s">
        <v>34</v>
      </c>
      <c r="I897">
        <v>17</v>
      </c>
      <c r="J897">
        <v>32</v>
      </c>
      <c r="K897">
        <v>17</v>
      </c>
      <c r="L897">
        <v>17</v>
      </c>
      <c r="M897">
        <v>15</v>
      </c>
    </row>
    <row r="898" spans="1:23">
      <c r="A898">
        <v>897</v>
      </c>
      <c r="B898" s="1">
        <v>45386</v>
      </c>
      <c r="C898" s="1">
        <v>45426</v>
      </c>
      <c r="D898" s="29">
        <f>Tailordata[[#This Row],[DueDate]]-Tailordata[[#This Row],[Date]]</f>
        <v>40</v>
      </c>
      <c r="E898" t="s">
        <v>27</v>
      </c>
      <c r="F898" t="s">
        <v>32</v>
      </c>
      <c r="G898">
        <v>299</v>
      </c>
      <c r="H898" t="s">
        <v>26</v>
      </c>
      <c r="I898">
        <v>16</v>
      </c>
      <c r="J898">
        <v>33</v>
      </c>
      <c r="K898">
        <v>21</v>
      </c>
      <c r="L898">
        <v>15</v>
      </c>
      <c r="N898">
        <v>37</v>
      </c>
      <c r="O898">
        <v>21</v>
      </c>
      <c r="P898">
        <v>23</v>
      </c>
    </row>
    <row r="899" spans="1:23">
      <c r="A899">
        <v>898</v>
      </c>
      <c r="B899" s="1">
        <v>45310</v>
      </c>
      <c r="C899" s="1">
        <v>45420</v>
      </c>
      <c r="D899" s="29">
        <f>Tailordata[[#This Row],[DueDate]]-Tailordata[[#This Row],[Date]]</f>
        <v>110</v>
      </c>
      <c r="E899" t="s">
        <v>29</v>
      </c>
      <c r="F899" t="s">
        <v>36</v>
      </c>
      <c r="G899">
        <v>174</v>
      </c>
      <c r="H899" t="s">
        <v>31</v>
      </c>
      <c r="O899">
        <v>22</v>
      </c>
      <c r="Q899">
        <v>18</v>
      </c>
      <c r="R899">
        <v>18</v>
      </c>
      <c r="S899">
        <v>23</v>
      </c>
      <c r="T899">
        <v>23</v>
      </c>
      <c r="U899">
        <v>14</v>
      </c>
    </row>
    <row r="900" spans="1:23">
      <c r="A900">
        <v>899</v>
      </c>
      <c r="B900" s="1">
        <v>45342</v>
      </c>
      <c r="C900" s="1">
        <v>45438</v>
      </c>
      <c r="D900" s="29">
        <f>Tailordata[[#This Row],[DueDate]]-Tailordata[[#This Row],[Date]]</f>
        <v>96</v>
      </c>
      <c r="E900" t="s">
        <v>29</v>
      </c>
      <c r="F900" t="s">
        <v>32</v>
      </c>
      <c r="G900">
        <v>259</v>
      </c>
      <c r="H900" t="s">
        <v>26</v>
      </c>
      <c r="O900">
        <v>23</v>
      </c>
      <c r="Q900">
        <v>16</v>
      </c>
      <c r="R900">
        <v>21</v>
      </c>
      <c r="S900">
        <v>22</v>
      </c>
      <c r="T900">
        <v>19</v>
      </c>
      <c r="U900">
        <v>20</v>
      </c>
    </row>
    <row r="901" spans="1:23">
      <c r="A901">
        <v>900</v>
      </c>
      <c r="B901" s="1">
        <v>45329</v>
      </c>
      <c r="C901" s="1">
        <v>45412</v>
      </c>
      <c r="D901" s="29">
        <f>Tailordata[[#This Row],[DueDate]]-Tailordata[[#This Row],[Date]]</f>
        <v>83</v>
      </c>
      <c r="E901" t="s">
        <v>22</v>
      </c>
      <c r="F901" t="s">
        <v>32</v>
      </c>
      <c r="G901">
        <v>194</v>
      </c>
      <c r="H901" t="s">
        <v>24</v>
      </c>
      <c r="I901">
        <v>19</v>
      </c>
      <c r="J901">
        <v>42</v>
      </c>
      <c r="K901">
        <v>18</v>
      </c>
      <c r="L901">
        <v>23</v>
      </c>
      <c r="M901">
        <v>23</v>
      </c>
    </row>
    <row r="902" spans="1:23">
      <c r="A902">
        <v>901</v>
      </c>
      <c r="B902" s="1">
        <v>45368</v>
      </c>
      <c r="C902" s="1">
        <v>45421</v>
      </c>
      <c r="D902" s="29">
        <f>Tailordata[[#This Row],[DueDate]]-Tailordata[[#This Row],[Date]]</f>
        <v>53</v>
      </c>
      <c r="E902" t="s">
        <v>33</v>
      </c>
      <c r="F902" t="s">
        <v>30</v>
      </c>
      <c r="G902">
        <v>427</v>
      </c>
      <c r="H902" t="s">
        <v>31</v>
      </c>
      <c r="I902">
        <v>14</v>
      </c>
      <c r="J902">
        <v>29</v>
      </c>
      <c r="K902">
        <v>16</v>
      </c>
      <c r="L902">
        <v>20</v>
      </c>
      <c r="M902">
        <v>22</v>
      </c>
      <c r="N902">
        <v>22</v>
      </c>
      <c r="O902">
        <v>14</v>
      </c>
      <c r="Q902">
        <v>16</v>
      </c>
      <c r="R902">
        <v>22</v>
      </c>
    </row>
    <row r="903" spans="1:23">
      <c r="A903">
        <v>902</v>
      </c>
      <c r="B903" s="1">
        <v>45299</v>
      </c>
      <c r="C903" s="1">
        <v>45421</v>
      </c>
      <c r="D903" s="29">
        <f>Tailordata[[#This Row],[DueDate]]-Tailordata[[#This Row],[Date]]</f>
        <v>122</v>
      </c>
      <c r="E903" t="s">
        <v>29</v>
      </c>
      <c r="F903" t="s">
        <v>23</v>
      </c>
      <c r="G903">
        <v>73</v>
      </c>
      <c r="H903" t="s">
        <v>34</v>
      </c>
      <c r="O903">
        <v>20</v>
      </c>
      <c r="Q903">
        <v>21</v>
      </c>
      <c r="R903">
        <v>21</v>
      </c>
      <c r="S903">
        <v>19</v>
      </c>
      <c r="T903">
        <v>16</v>
      </c>
      <c r="U903">
        <v>21</v>
      </c>
    </row>
    <row r="904" spans="1:23">
      <c r="A904">
        <v>903</v>
      </c>
      <c r="B904" s="1">
        <v>45326</v>
      </c>
      <c r="C904" s="1">
        <v>45422</v>
      </c>
      <c r="D904" s="29">
        <f>Tailordata[[#This Row],[DueDate]]-Tailordata[[#This Row],[Date]]</f>
        <v>96</v>
      </c>
      <c r="E904" t="s">
        <v>27</v>
      </c>
      <c r="F904" t="s">
        <v>32</v>
      </c>
      <c r="G904">
        <v>131</v>
      </c>
      <c r="H904" t="s">
        <v>24</v>
      </c>
      <c r="I904">
        <v>21</v>
      </c>
      <c r="J904">
        <v>22</v>
      </c>
      <c r="K904">
        <v>19</v>
      </c>
      <c r="L904">
        <v>22</v>
      </c>
      <c r="N904">
        <v>27</v>
      </c>
      <c r="O904">
        <v>23</v>
      </c>
      <c r="P904">
        <v>16</v>
      </c>
    </row>
    <row r="905" spans="1:23">
      <c r="A905">
        <v>904</v>
      </c>
      <c r="B905" s="1">
        <v>45392</v>
      </c>
      <c r="C905" s="1">
        <v>45426</v>
      </c>
      <c r="D905" s="29">
        <f>Tailordata[[#This Row],[DueDate]]-Tailordata[[#This Row],[Date]]</f>
        <v>34</v>
      </c>
      <c r="E905" t="s">
        <v>29</v>
      </c>
      <c r="F905" t="s">
        <v>32</v>
      </c>
      <c r="G905">
        <v>404</v>
      </c>
      <c r="H905" t="s">
        <v>34</v>
      </c>
      <c r="O905">
        <v>22</v>
      </c>
      <c r="Q905">
        <v>22</v>
      </c>
      <c r="R905">
        <v>14</v>
      </c>
      <c r="S905">
        <v>17</v>
      </c>
      <c r="T905">
        <v>20</v>
      </c>
      <c r="U905">
        <v>23</v>
      </c>
    </row>
    <row r="906" spans="1:23">
      <c r="A906">
        <v>905</v>
      </c>
      <c r="B906" s="1">
        <v>45298</v>
      </c>
      <c r="C906" s="1">
        <v>45429</v>
      </c>
      <c r="D906" s="29">
        <f>Tailordata[[#This Row],[DueDate]]-Tailordata[[#This Row],[Date]]</f>
        <v>131</v>
      </c>
      <c r="E906" t="s">
        <v>35</v>
      </c>
      <c r="F906" t="s">
        <v>32</v>
      </c>
      <c r="G906">
        <v>93</v>
      </c>
      <c r="H906" t="s">
        <v>26</v>
      </c>
      <c r="O906">
        <v>18</v>
      </c>
      <c r="P906">
        <v>18</v>
      </c>
      <c r="Q906">
        <v>23</v>
      </c>
      <c r="R906">
        <v>22</v>
      </c>
      <c r="U906">
        <v>19</v>
      </c>
      <c r="V906">
        <v>19</v>
      </c>
      <c r="W906">
        <v>21</v>
      </c>
    </row>
    <row r="907" spans="1:23">
      <c r="A907">
        <v>906</v>
      </c>
      <c r="B907" s="1">
        <v>45328</v>
      </c>
      <c r="C907" s="1">
        <v>45430</v>
      </c>
      <c r="D907" s="29">
        <f>Tailordata[[#This Row],[DueDate]]-Tailordata[[#This Row],[Date]]</f>
        <v>102</v>
      </c>
      <c r="E907" t="s">
        <v>29</v>
      </c>
      <c r="F907" t="s">
        <v>23</v>
      </c>
      <c r="G907">
        <v>261</v>
      </c>
      <c r="H907" t="s">
        <v>26</v>
      </c>
      <c r="O907">
        <v>17</v>
      </c>
      <c r="Q907">
        <v>18</v>
      </c>
      <c r="R907">
        <v>19</v>
      </c>
      <c r="S907">
        <v>21</v>
      </c>
      <c r="T907">
        <v>15</v>
      </c>
      <c r="U907">
        <v>23</v>
      </c>
    </row>
    <row r="908" spans="1:23">
      <c r="A908">
        <v>907</v>
      </c>
      <c r="B908" s="1">
        <v>45375</v>
      </c>
      <c r="C908" s="1">
        <v>45431</v>
      </c>
      <c r="D908" s="29">
        <f>Tailordata[[#This Row],[DueDate]]-Tailordata[[#This Row],[Date]]</f>
        <v>56</v>
      </c>
      <c r="E908" t="s">
        <v>29</v>
      </c>
      <c r="F908" t="s">
        <v>36</v>
      </c>
      <c r="G908">
        <v>102</v>
      </c>
      <c r="H908" t="s">
        <v>28</v>
      </c>
      <c r="O908">
        <v>23</v>
      </c>
      <c r="Q908">
        <v>20</v>
      </c>
      <c r="R908">
        <v>19</v>
      </c>
      <c r="S908">
        <v>20</v>
      </c>
      <c r="T908">
        <v>14</v>
      </c>
      <c r="U908">
        <v>17</v>
      </c>
    </row>
    <row r="909" spans="1:23">
      <c r="A909">
        <v>908</v>
      </c>
      <c r="B909" s="1">
        <v>45302</v>
      </c>
      <c r="C909" s="1">
        <v>45429</v>
      </c>
      <c r="D909" s="29">
        <f>Tailordata[[#This Row],[DueDate]]-Tailordata[[#This Row],[Date]]</f>
        <v>127</v>
      </c>
      <c r="E909" t="s">
        <v>29</v>
      </c>
      <c r="F909" t="s">
        <v>36</v>
      </c>
      <c r="G909">
        <v>172</v>
      </c>
      <c r="H909" t="s">
        <v>26</v>
      </c>
      <c r="O909">
        <v>17</v>
      </c>
      <c r="Q909">
        <v>18</v>
      </c>
      <c r="R909">
        <v>19</v>
      </c>
      <c r="S909">
        <v>17</v>
      </c>
      <c r="T909">
        <v>16</v>
      </c>
      <c r="U909">
        <v>19</v>
      </c>
    </row>
    <row r="910" spans="1:23">
      <c r="A910">
        <v>909</v>
      </c>
      <c r="B910" s="1">
        <v>45370</v>
      </c>
      <c r="C910" s="1">
        <v>45439</v>
      </c>
      <c r="D910" s="29">
        <f>Tailordata[[#This Row],[DueDate]]-Tailordata[[#This Row],[Date]]</f>
        <v>69</v>
      </c>
      <c r="E910" t="s">
        <v>22</v>
      </c>
      <c r="F910" t="s">
        <v>32</v>
      </c>
      <c r="G910">
        <v>77</v>
      </c>
      <c r="H910" t="s">
        <v>34</v>
      </c>
      <c r="I910">
        <v>22</v>
      </c>
      <c r="J910">
        <v>46</v>
      </c>
      <c r="K910">
        <v>19</v>
      </c>
      <c r="L910">
        <v>23</v>
      </c>
      <c r="M910">
        <v>19</v>
      </c>
    </row>
    <row r="911" spans="1:23">
      <c r="A911">
        <v>910</v>
      </c>
      <c r="B911" s="1">
        <v>45310</v>
      </c>
      <c r="C911" s="1">
        <v>45411</v>
      </c>
      <c r="D911" s="29">
        <f>Tailordata[[#This Row],[DueDate]]-Tailordata[[#This Row],[Date]]</f>
        <v>101</v>
      </c>
      <c r="E911" t="s">
        <v>22</v>
      </c>
      <c r="F911" t="s">
        <v>23</v>
      </c>
      <c r="G911">
        <v>343</v>
      </c>
      <c r="H911" t="s">
        <v>28</v>
      </c>
      <c r="I911">
        <v>17</v>
      </c>
      <c r="J911">
        <v>35</v>
      </c>
      <c r="K911">
        <v>23</v>
      </c>
      <c r="L911">
        <v>20</v>
      </c>
      <c r="M911">
        <v>23</v>
      </c>
    </row>
    <row r="912" spans="1:23">
      <c r="A912">
        <v>911</v>
      </c>
      <c r="B912" s="1">
        <v>45327</v>
      </c>
      <c r="C912" s="1">
        <v>45440</v>
      </c>
      <c r="D912" s="29">
        <f>Tailordata[[#This Row],[DueDate]]-Tailordata[[#This Row],[Date]]</f>
        <v>113</v>
      </c>
      <c r="E912" t="s">
        <v>33</v>
      </c>
      <c r="F912" t="s">
        <v>30</v>
      </c>
      <c r="G912">
        <v>81</v>
      </c>
      <c r="H912" t="s">
        <v>24</v>
      </c>
      <c r="I912">
        <v>22</v>
      </c>
      <c r="J912">
        <v>42</v>
      </c>
      <c r="K912">
        <v>18</v>
      </c>
      <c r="L912">
        <v>15</v>
      </c>
      <c r="M912">
        <v>14</v>
      </c>
      <c r="N912">
        <v>22</v>
      </c>
      <c r="O912">
        <v>23</v>
      </c>
      <c r="Q912">
        <v>18</v>
      </c>
      <c r="R912">
        <v>20</v>
      </c>
    </row>
    <row r="913" spans="1:23">
      <c r="A913">
        <v>912</v>
      </c>
      <c r="B913" s="1">
        <v>45366</v>
      </c>
      <c r="C913" s="1">
        <v>45412</v>
      </c>
      <c r="D913" s="29">
        <f>Tailordata[[#This Row],[DueDate]]-Tailordata[[#This Row],[Date]]</f>
        <v>46</v>
      </c>
      <c r="E913" t="s">
        <v>35</v>
      </c>
      <c r="F913" t="s">
        <v>25</v>
      </c>
      <c r="G913">
        <v>260</v>
      </c>
      <c r="H913" t="s">
        <v>28</v>
      </c>
      <c r="O913">
        <v>14</v>
      </c>
      <c r="P913">
        <v>24</v>
      </c>
      <c r="Q913">
        <v>18</v>
      </c>
      <c r="R913">
        <v>19</v>
      </c>
      <c r="U913">
        <v>24</v>
      </c>
      <c r="V913">
        <v>21</v>
      </c>
      <c r="W913">
        <v>21</v>
      </c>
    </row>
    <row r="914" spans="1:23">
      <c r="A914">
        <v>913</v>
      </c>
      <c r="B914" s="1">
        <v>45333</v>
      </c>
      <c r="C914" s="1">
        <v>45416</v>
      </c>
      <c r="D914" s="29">
        <f>Tailordata[[#This Row],[DueDate]]-Tailordata[[#This Row],[Date]]</f>
        <v>83</v>
      </c>
      <c r="E914" t="s">
        <v>27</v>
      </c>
      <c r="F914" t="s">
        <v>32</v>
      </c>
      <c r="G914">
        <v>483</v>
      </c>
      <c r="H914" t="s">
        <v>31</v>
      </c>
      <c r="I914">
        <v>18</v>
      </c>
      <c r="J914">
        <v>49</v>
      </c>
      <c r="K914">
        <v>19</v>
      </c>
      <c r="L914">
        <v>14</v>
      </c>
      <c r="N914">
        <v>32</v>
      </c>
      <c r="O914">
        <v>20</v>
      </c>
      <c r="P914">
        <v>14</v>
      </c>
    </row>
    <row r="915" spans="1:23">
      <c r="A915">
        <v>914</v>
      </c>
      <c r="B915" s="1">
        <v>45398</v>
      </c>
      <c r="C915" s="1">
        <v>45422</v>
      </c>
      <c r="D915" s="29">
        <f>Tailordata[[#This Row],[DueDate]]-Tailordata[[#This Row],[Date]]</f>
        <v>24</v>
      </c>
      <c r="E915" t="s">
        <v>27</v>
      </c>
      <c r="F915" t="s">
        <v>23</v>
      </c>
      <c r="G915">
        <v>441</v>
      </c>
      <c r="H915" t="s">
        <v>24</v>
      </c>
      <c r="I915">
        <v>21</v>
      </c>
      <c r="J915">
        <v>41</v>
      </c>
      <c r="K915">
        <v>19</v>
      </c>
      <c r="L915">
        <v>19</v>
      </c>
      <c r="N915">
        <v>34</v>
      </c>
      <c r="O915">
        <v>17</v>
      </c>
      <c r="P915">
        <v>16</v>
      </c>
    </row>
    <row r="916" spans="1:23">
      <c r="A916">
        <v>915</v>
      </c>
      <c r="B916" s="1">
        <v>45308</v>
      </c>
      <c r="C916" s="1">
        <v>45427</v>
      </c>
      <c r="D916" s="29">
        <f>Tailordata[[#This Row],[DueDate]]-Tailordata[[#This Row],[Date]]</f>
        <v>119</v>
      </c>
      <c r="E916" t="s">
        <v>22</v>
      </c>
      <c r="F916" t="s">
        <v>30</v>
      </c>
      <c r="G916">
        <v>189</v>
      </c>
      <c r="H916" t="s">
        <v>28</v>
      </c>
      <c r="I916">
        <v>17</v>
      </c>
      <c r="J916">
        <v>31</v>
      </c>
      <c r="K916">
        <v>20</v>
      </c>
      <c r="L916">
        <v>21</v>
      </c>
      <c r="M916">
        <v>24</v>
      </c>
    </row>
    <row r="917" spans="1:23">
      <c r="A917">
        <v>916</v>
      </c>
      <c r="B917" s="1">
        <v>45299</v>
      </c>
      <c r="C917" s="1">
        <v>45413</v>
      </c>
      <c r="D917" s="29">
        <f>Tailordata[[#This Row],[DueDate]]-Tailordata[[#This Row],[Date]]</f>
        <v>114</v>
      </c>
      <c r="E917" t="s">
        <v>29</v>
      </c>
      <c r="F917" t="s">
        <v>30</v>
      </c>
      <c r="G917">
        <v>203</v>
      </c>
      <c r="H917" t="s">
        <v>31</v>
      </c>
      <c r="O917">
        <v>23</v>
      </c>
      <c r="Q917">
        <v>21</v>
      </c>
      <c r="R917">
        <v>18</v>
      </c>
      <c r="S917">
        <v>15</v>
      </c>
      <c r="T917">
        <v>19</v>
      </c>
      <c r="U917">
        <v>15</v>
      </c>
    </row>
    <row r="918" spans="1:23">
      <c r="A918">
        <v>917</v>
      </c>
      <c r="B918" s="1">
        <v>45342</v>
      </c>
      <c r="C918" s="1">
        <v>45436</v>
      </c>
      <c r="D918" s="29">
        <f>Tailordata[[#This Row],[DueDate]]-Tailordata[[#This Row],[Date]]</f>
        <v>94</v>
      </c>
      <c r="E918" t="s">
        <v>35</v>
      </c>
      <c r="F918" t="s">
        <v>30</v>
      </c>
      <c r="G918">
        <v>451</v>
      </c>
      <c r="H918" t="s">
        <v>28</v>
      </c>
      <c r="O918">
        <v>17</v>
      </c>
      <c r="P918">
        <v>14</v>
      </c>
      <c r="Q918">
        <v>22</v>
      </c>
      <c r="R918">
        <v>24</v>
      </c>
      <c r="U918">
        <v>23</v>
      </c>
      <c r="V918">
        <v>23</v>
      </c>
      <c r="W918">
        <v>19</v>
      </c>
    </row>
    <row r="919" spans="1:23">
      <c r="A919">
        <v>918</v>
      </c>
      <c r="B919" s="1">
        <v>45315</v>
      </c>
      <c r="C919" s="1">
        <v>45425</v>
      </c>
      <c r="D919" s="29">
        <f>Tailordata[[#This Row],[DueDate]]-Tailordata[[#This Row],[Date]]</f>
        <v>110</v>
      </c>
      <c r="E919" t="s">
        <v>33</v>
      </c>
      <c r="F919" t="s">
        <v>36</v>
      </c>
      <c r="G919">
        <v>356</v>
      </c>
      <c r="H919" t="s">
        <v>28</v>
      </c>
      <c r="I919">
        <v>18</v>
      </c>
      <c r="J919">
        <v>35</v>
      </c>
      <c r="K919">
        <v>24</v>
      </c>
      <c r="L919">
        <v>22</v>
      </c>
      <c r="M919">
        <v>23</v>
      </c>
      <c r="N919">
        <v>33</v>
      </c>
      <c r="O919">
        <v>24</v>
      </c>
      <c r="Q919">
        <v>23</v>
      </c>
      <c r="R919">
        <v>16</v>
      </c>
    </row>
    <row r="920" spans="1:23">
      <c r="A920">
        <v>919</v>
      </c>
      <c r="B920" s="1">
        <v>45313</v>
      </c>
      <c r="C920" s="1">
        <v>45420</v>
      </c>
      <c r="D920" s="29">
        <f>Tailordata[[#This Row],[DueDate]]-Tailordata[[#This Row],[Date]]</f>
        <v>107</v>
      </c>
      <c r="E920" t="s">
        <v>35</v>
      </c>
      <c r="F920" t="s">
        <v>36</v>
      </c>
      <c r="G920">
        <v>348</v>
      </c>
      <c r="H920" t="s">
        <v>26</v>
      </c>
      <c r="O920">
        <v>21</v>
      </c>
      <c r="P920">
        <v>19</v>
      </c>
      <c r="Q920">
        <v>20</v>
      </c>
      <c r="R920">
        <v>14</v>
      </c>
      <c r="U920">
        <v>18</v>
      </c>
      <c r="V920">
        <v>15</v>
      </c>
      <c r="W920">
        <v>17</v>
      </c>
    </row>
    <row r="921" spans="1:23">
      <c r="A921">
        <v>920</v>
      </c>
      <c r="B921" s="1">
        <v>45377</v>
      </c>
      <c r="C921" s="1">
        <v>45418</v>
      </c>
      <c r="D921" s="29">
        <f>Tailordata[[#This Row],[DueDate]]-Tailordata[[#This Row],[Date]]</f>
        <v>41</v>
      </c>
      <c r="E921" t="s">
        <v>35</v>
      </c>
      <c r="F921" t="s">
        <v>25</v>
      </c>
      <c r="G921">
        <v>95</v>
      </c>
      <c r="H921" t="s">
        <v>28</v>
      </c>
      <c r="O921">
        <v>19</v>
      </c>
      <c r="P921">
        <v>22</v>
      </c>
      <c r="Q921">
        <v>15</v>
      </c>
      <c r="R921">
        <v>22</v>
      </c>
      <c r="U921">
        <v>16</v>
      </c>
      <c r="V921">
        <v>14</v>
      </c>
      <c r="W921">
        <v>18</v>
      </c>
    </row>
    <row r="922" spans="1:23">
      <c r="A922">
        <v>921</v>
      </c>
      <c r="B922" s="1">
        <v>45379</v>
      </c>
      <c r="C922" s="1">
        <v>45415</v>
      </c>
      <c r="D922" s="29">
        <f>Tailordata[[#This Row],[DueDate]]-Tailordata[[#This Row],[Date]]</f>
        <v>36</v>
      </c>
      <c r="E922" t="s">
        <v>27</v>
      </c>
      <c r="F922" t="s">
        <v>30</v>
      </c>
      <c r="G922">
        <v>423</v>
      </c>
      <c r="H922" t="s">
        <v>28</v>
      </c>
      <c r="I922">
        <v>21</v>
      </c>
      <c r="J922">
        <v>45</v>
      </c>
      <c r="K922">
        <v>19</v>
      </c>
      <c r="L922">
        <v>23</v>
      </c>
      <c r="N922">
        <v>38</v>
      </c>
      <c r="O922">
        <v>17</v>
      </c>
      <c r="P922">
        <v>14</v>
      </c>
    </row>
    <row r="923" spans="1:23">
      <c r="A923">
        <v>922</v>
      </c>
      <c r="B923" s="1">
        <v>45381</v>
      </c>
      <c r="C923" s="1">
        <v>45416</v>
      </c>
      <c r="D923" s="29">
        <f>Tailordata[[#This Row],[DueDate]]-Tailordata[[#This Row],[Date]]</f>
        <v>35</v>
      </c>
      <c r="E923" t="s">
        <v>27</v>
      </c>
      <c r="F923" t="s">
        <v>32</v>
      </c>
      <c r="G923">
        <v>232</v>
      </c>
      <c r="H923" t="s">
        <v>34</v>
      </c>
      <c r="I923">
        <v>21</v>
      </c>
      <c r="J923">
        <v>23</v>
      </c>
      <c r="K923">
        <v>14</v>
      </c>
      <c r="L923">
        <v>24</v>
      </c>
      <c r="N923">
        <v>36</v>
      </c>
      <c r="O923">
        <v>16</v>
      </c>
      <c r="P923">
        <v>23</v>
      </c>
    </row>
    <row r="924" spans="1:23">
      <c r="A924">
        <v>923</v>
      </c>
      <c r="B924" s="1">
        <v>45313</v>
      </c>
      <c r="C924" s="1">
        <v>45423</v>
      </c>
      <c r="D924" s="29">
        <f>Tailordata[[#This Row],[DueDate]]-Tailordata[[#This Row],[Date]]</f>
        <v>110</v>
      </c>
      <c r="E924" t="s">
        <v>27</v>
      </c>
      <c r="F924" t="s">
        <v>25</v>
      </c>
      <c r="G924">
        <v>317</v>
      </c>
      <c r="H924" t="s">
        <v>28</v>
      </c>
      <c r="I924">
        <v>21</v>
      </c>
      <c r="J924">
        <v>37</v>
      </c>
      <c r="K924">
        <v>18</v>
      </c>
      <c r="L924">
        <v>23</v>
      </c>
      <c r="N924">
        <v>41</v>
      </c>
      <c r="O924">
        <v>23</v>
      </c>
      <c r="P924">
        <v>24</v>
      </c>
    </row>
    <row r="925" spans="1:23">
      <c r="A925">
        <v>924</v>
      </c>
      <c r="B925" s="1">
        <v>45336</v>
      </c>
      <c r="C925" s="1">
        <v>45415</v>
      </c>
      <c r="D925" s="29">
        <f>Tailordata[[#This Row],[DueDate]]-Tailordata[[#This Row],[Date]]</f>
        <v>79</v>
      </c>
      <c r="E925" t="s">
        <v>22</v>
      </c>
      <c r="F925" t="s">
        <v>36</v>
      </c>
      <c r="G925">
        <v>312</v>
      </c>
      <c r="H925" t="s">
        <v>34</v>
      </c>
      <c r="I925">
        <v>22</v>
      </c>
      <c r="J925">
        <v>30</v>
      </c>
      <c r="K925">
        <v>15</v>
      </c>
      <c r="L925">
        <v>20</v>
      </c>
      <c r="M925">
        <v>23</v>
      </c>
    </row>
    <row r="926" spans="1:23">
      <c r="A926">
        <v>925</v>
      </c>
      <c r="B926" s="1">
        <v>45313</v>
      </c>
      <c r="C926" s="1">
        <v>45419</v>
      </c>
      <c r="D926" s="29">
        <f>Tailordata[[#This Row],[DueDate]]-Tailordata[[#This Row],[Date]]</f>
        <v>106</v>
      </c>
      <c r="E926" t="s">
        <v>22</v>
      </c>
      <c r="F926" t="s">
        <v>36</v>
      </c>
      <c r="G926">
        <v>86</v>
      </c>
      <c r="H926" t="s">
        <v>28</v>
      </c>
      <c r="I926">
        <v>23</v>
      </c>
      <c r="J926">
        <v>20</v>
      </c>
      <c r="K926">
        <v>23</v>
      </c>
      <c r="L926">
        <v>16</v>
      </c>
      <c r="M926">
        <v>20</v>
      </c>
    </row>
    <row r="927" spans="1:23">
      <c r="A927">
        <v>926</v>
      </c>
      <c r="B927" s="1">
        <v>45313</v>
      </c>
      <c r="C927" s="1">
        <v>45427</v>
      </c>
      <c r="D927" s="29">
        <f>Tailordata[[#This Row],[DueDate]]-Tailordata[[#This Row],[Date]]</f>
        <v>114</v>
      </c>
      <c r="E927" t="s">
        <v>29</v>
      </c>
      <c r="F927" t="s">
        <v>36</v>
      </c>
      <c r="G927">
        <v>314</v>
      </c>
      <c r="H927" t="s">
        <v>28</v>
      </c>
      <c r="O927">
        <v>23</v>
      </c>
      <c r="Q927">
        <v>24</v>
      </c>
      <c r="R927">
        <v>21</v>
      </c>
      <c r="S927">
        <v>16</v>
      </c>
      <c r="T927">
        <v>21</v>
      </c>
      <c r="U927">
        <v>24</v>
      </c>
    </row>
    <row r="928" spans="1:23">
      <c r="A928">
        <v>927</v>
      </c>
      <c r="B928" s="1">
        <v>45359</v>
      </c>
      <c r="C928" s="1">
        <v>45415</v>
      </c>
      <c r="D928" s="29">
        <f>Tailordata[[#This Row],[DueDate]]-Tailordata[[#This Row],[Date]]</f>
        <v>56</v>
      </c>
      <c r="E928" t="s">
        <v>35</v>
      </c>
      <c r="F928" t="s">
        <v>36</v>
      </c>
      <c r="G928">
        <v>146</v>
      </c>
      <c r="H928" t="s">
        <v>28</v>
      </c>
      <c r="O928">
        <v>22</v>
      </c>
      <c r="P928">
        <v>24</v>
      </c>
      <c r="Q928">
        <v>14</v>
      </c>
      <c r="R928">
        <v>23</v>
      </c>
      <c r="U928">
        <v>23</v>
      </c>
      <c r="V928">
        <v>16</v>
      </c>
      <c r="W928">
        <v>21</v>
      </c>
    </row>
    <row r="929" spans="1:23">
      <c r="A929">
        <v>928</v>
      </c>
      <c r="B929" s="1">
        <v>45350</v>
      </c>
      <c r="C929" s="1">
        <v>45433</v>
      </c>
      <c r="D929" s="29">
        <f>Tailordata[[#This Row],[DueDate]]-Tailordata[[#This Row],[Date]]</f>
        <v>83</v>
      </c>
      <c r="E929" t="s">
        <v>35</v>
      </c>
      <c r="F929" t="s">
        <v>32</v>
      </c>
      <c r="G929">
        <v>341</v>
      </c>
      <c r="H929" t="s">
        <v>34</v>
      </c>
      <c r="O929">
        <v>17</v>
      </c>
      <c r="P929">
        <v>19</v>
      </c>
      <c r="Q929">
        <v>19</v>
      </c>
      <c r="R929">
        <v>24</v>
      </c>
      <c r="U929">
        <v>23</v>
      </c>
      <c r="V929">
        <v>22</v>
      </c>
      <c r="W929">
        <v>24</v>
      </c>
    </row>
    <row r="930" spans="1:23">
      <c r="A930">
        <v>929</v>
      </c>
      <c r="B930" s="1">
        <v>45390</v>
      </c>
      <c r="C930" s="1">
        <v>45429</v>
      </c>
      <c r="D930" s="29">
        <f>Tailordata[[#This Row],[DueDate]]-Tailordata[[#This Row],[Date]]</f>
        <v>39</v>
      </c>
      <c r="E930" t="s">
        <v>29</v>
      </c>
      <c r="F930" t="s">
        <v>30</v>
      </c>
      <c r="G930">
        <v>364</v>
      </c>
      <c r="H930" t="s">
        <v>24</v>
      </c>
      <c r="O930">
        <v>19</v>
      </c>
      <c r="Q930">
        <v>17</v>
      </c>
      <c r="R930">
        <v>24</v>
      </c>
      <c r="S930">
        <v>23</v>
      </c>
      <c r="T930">
        <v>22</v>
      </c>
      <c r="U930">
        <v>17</v>
      </c>
    </row>
    <row r="931" spans="1:23">
      <c r="A931">
        <v>930</v>
      </c>
      <c r="B931" s="1">
        <v>45315</v>
      </c>
      <c r="C931" s="1">
        <v>45428</v>
      </c>
      <c r="D931" s="29">
        <f>Tailordata[[#This Row],[DueDate]]-Tailordata[[#This Row],[Date]]</f>
        <v>113</v>
      </c>
      <c r="E931" t="s">
        <v>22</v>
      </c>
      <c r="F931" t="s">
        <v>36</v>
      </c>
      <c r="G931">
        <v>115</v>
      </c>
      <c r="H931" t="s">
        <v>34</v>
      </c>
      <c r="I931">
        <v>17</v>
      </c>
      <c r="J931">
        <v>26</v>
      </c>
      <c r="K931">
        <v>23</v>
      </c>
      <c r="L931">
        <v>16</v>
      </c>
      <c r="M931">
        <v>19</v>
      </c>
    </row>
    <row r="932" spans="1:23">
      <c r="A932">
        <v>931</v>
      </c>
      <c r="B932" s="1">
        <v>45362</v>
      </c>
      <c r="C932" s="1">
        <v>45435</v>
      </c>
      <c r="D932" s="29">
        <f>Tailordata[[#This Row],[DueDate]]-Tailordata[[#This Row],[Date]]</f>
        <v>73</v>
      </c>
      <c r="E932" t="s">
        <v>29</v>
      </c>
      <c r="F932" t="s">
        <v>23</v>
      </c>
      <c r="G932">
        <v>281</v>
      </c>
      <c r="H932" t="s">
        <v>34</v>
      </c>
      <c r="O932">
        <v>23</v>
      </c>
      <c r="Q932">
        <v>24</v>
      </c>
      <c r="R932">
        <v>19</v>
      </c>
      <c r="S932">
        <v>20</v>
      </c>
      <c r="T932">
        <v>24</v>
      </c>
      <c r="U932">
        <v>24</v>
      </c>
    </row>
    <row r="933" spans="1:23">
      <c r="A933">
        <v>932</v>
      </c>
      <c r="B933" s="1">
        <v>45395</v>
      </c>
      <c r="C933" s="1">
        <v>45437</v>
      </c>
      <c r="D933" s="29">
        <f>Tailordata[[#This Row],[DueDate]]-Tailordata[[#This Row],[Date]]</f>
        <v>42</v>
      </c>
      <c r="E933" t="s">
        <v>22</v>
      </c>
      <c r="F933" t="s">
        <v>23</v>
      </c>
      <c r="G933">
        <v>280</v>
      </c>
      <c r="H933" t="s">
        <v>24</v>
      </c>
      <c r="I933">
        <v>23</v>
      </c>
      <c r="J933">
        <v>23</v>
      </c>
      <c r="K933">
        <v>24</v>
      </c>
      <c r="L933">
        <v>23</v>
      </c>
      <c r="M933">
        <v>23</v>
      </c>
    </row>
    <row r="934" spans="1:23">
      <c r="A934">
        <v>933</v>
      </c>
      <c r="B934" s="1">
        <v>45384</v>
      </c>
      <c r="C934" s="1">
        <v>45419</v>
      </c>
      <c r="D934" s="29">
        <f>Tailordata[[#This Row],[DueDate]]-Tailordata[[#This Row],[Date]]</f>
        <v>35</v>
      </c>
      <c r="E934" t="s">
        <v>22</v>
      </c>
      <c r="F934" t="s">
        <v>25</v>
      </c>
      <c r="G934">
        <v>246</v>
      </c>
      <c r="H934" t="s">
        <v>28</v>
      </c>
      <c r="I934">
        <v>23</v>
      </c>
      <c r="J934">
        <v>36</v>
      </c>
      <c r="K934">
        <v>22</v>
      </c>
      <c r="L934">
        <v>24</v>
      </c>
      <c r="M934">
        <v>16</v>
      </c>
    </row>
    <row r="935" spans="1:23">
      <c r="A935">
        <v>934</v>
      </c>
      <c r="B935" s="1">
        <v>45342</v>
      </c>
      <c r="C935" s="1">
        <v>45423</v>
      </c>
      <c r="D935" s="29">
        <f>Tailordata[[#This Row],[DueDate]]-Tailordata[[#This Row],[Date]]</f>
        <v>81</v>
      </c>
      <c r="E935" t="s">
        <v>27</v>
      </c>
      <c r="F935" t="s">
        <v>30</v>
      </c>
      <c r="G935">
        <v>263</v>
      </c>
      <c r="H935" t="s">
        <v>31</v>
      </c>
      <c r="I935">
        <v>22</v>
      </c>
      <c r="J935">
        <v>31</v>
      </c>
      <c r="K935">
        <v>17</v>
      </c>
      <c r="L935">
        <v>19</v>
      </c>
      <c r="N935">
        <v>41</v>
      </c>
      <c r="O935">
        <v>22</v>
      </c>
      <c r="P935">
        <v>20</v>
      </c>
    </row>
    <row r="936" spans="1:23">
      <c r="A936">
        <v>935</v>
      </c>
      <c r="B936" s="1">
        <v>45331</v>
      </c>
      <c r="C936" s="1">
        <v>45431</v>
      </c>
      <c r="D936" s="29">
        <f>Tailordata[[#This Row],[DueDate]]-Tailordata[[#This Row],[Date]]</f>
        <v>100</v>
      </c>
      <c r="E936" t="s">
        <v>29</v>
      </c>
      <c r="F936" t="s">
        <v>36</v>
      </c>
      <c r="G936">
        <v>299</v>
      </c>
      <c r="H936" t="s">
        <v>31</v>
      </c>
      <c r="O936">
        <v>24</v>
      </c>
      <c r="Q936">
        <v>19</v>
      </c>
      <c r="R936">
        <v>20</v>
      </c>
      <c r="S936">
        <v>18</v>
      </c>
      <c r="T936">
        <v>18</v>
      </c>
      <c r="U936">
        <v>24</v>
      </c>
    </row>
    <row r="937" spans="1:23">
      <c r="A937">
        <v>936</v>
      </c>
      <c r="B937" s="1">
        <v>45373</v>
      </c>
      <c r="C937" s="1">
        <v>45418</v>
      </c>
      <c r="D937" s="29">
        <f>Tailordata[[#This Row],[DueDate]]-Tailordata[[#This Row],[Date]]</f>
        <v>45</v>
      </c>
      <c r="E937" t="s">
        <v>27</v>
      </c>
      <c r="F937" t="s">
        <v>32</v>
      </c>
      <c r="G937">
        <v>497</v>
      </c>
      <c r="H937" t="s">
        <v>34</v>
      </c>
      <c r="I937">
        <v>23</v>
      </c>
      <c r="J937">
        <v>33</v>
      </c>
      <c r="K937">
        <v>23</v>
      </c>
      <c r="L937">
        <v>24</v>
      </c>
      <c r="N937">
        <v>25</v>
      </c>
      <c r="O937">
        <v>19</v>
      </c>
      <c r="P937">
        <v>15</v>
      </c>
    </row>
    <row r="938" spans="1:23">
      <c r="A938">
        <v>937</v>
      </c>
      <c r="B938" s="1">
        <v>45356</v>
      </c>
      <c r="C938" s="1">
        <v>45429</v>
      </c>
      <c r="D938" s="29">
        <f>Tailordata[[#This Row],[DueDate]]-Tailordata[[#This Row],[Date]]</f>
        <v>73</v>
      </c>
      <c r="E938" t="s">
        <v>27</v>
      </c>
      <c r="F938" t="s">
        <v>23</v>
      </c>
      <c r="G938">
        <v>160</v>
      </c>
      <c r="H938" t="s">
        <v>31</v>
      </c>
      <c r="I938">
        <v>18</v>
      </c>
      <c r="J938">
        <v>50</v>
      </c>
      <c r="K938">
        <v>22</v>
      </c>
      <c r="L938">
        <v>20</v>
      </c>
      <c r="N938">
        <v>34</v>
      </c>
      <c r="O938">
        <v>15</v>
      </c>
      <c r="P938">
        <v>19</v>
      </c>
    </row>
    <row r="939" spans="1:23">
      <c r="A939">
        <v>938</v>
      </c>
      <c r="B939" s="1">
        <v>45328</v>
      </c>
      <c r="C939" s="1">
        <v>45415</v>
      </c>
      <c r="D939" s="29">
        <f>Tailordata[[#This Row],[DueDate]]-Tailordata[[#This Row],[Date]]</f>
        <v>87</v>
      </c>
      <c r="E939" t="s">
        <v>22</v>
      </c>
      <c r="F939" t="s">
        <v>30</v>
      </c>
      <c r="G939">
        <v>60</v>
      </c>
      <c r="H939" t="s">
        <v>26</v>
      </c>
      <c r="I939">
        <v>23</v>
      </c>
      <c r="J939">
        <v>33</v>
      </c>
      <c r="K939">
        <v>16</v>
      </c>
      <c r="L939">
        <v>17</v>
      </c>
      <c r="M939">
        <v>17</v>
      </c>
    </row>
    <row r="940" spans="1:23">
      <c r="A940">
        <v>939</v>
      </c>
      <c r="B940" s="1">
        <v>45370</v>
      </c>
      <c r="C940" s="1">
        <v>45420</v>
      </c>
      <c r="D940" s="29">
        <f>Tailordata[[#This Row],[DueDate]]-Tailordata[[#This Row],[Date]]</f>
        <v>50</v>
      </c>
      <c r="E940" t="s">
        <v>29</v>
      </c>
      <c r="F940" t="s">
        <v>23</v>
      </c>
      <c r="G940">
        <v>345</v>
      </c>
      <c r="H940" t="s">
        <v>24</v>
      </c>
      <c r="O940">
        <v>15</v>
      </c>
      <c r="Q940">
        <v>19</v>
      </c>
      <c r="R940">
        <v>15</v>
      </c>
      <c r="S940">
        <v>17</v>
      </c>
      <c r="T940">
        <v>14</v>
      </c>
      <c r="U940">
        <v>20</v>
      </c>
    </row>
    <row r="941" spans="1:23">
      <c r="A941">
        <v>940</v>
      </c>
      <c r="B941" s="1">
        <v>45292</v>
      </c>
      <c r="C941" s="1">
        <v>45440</v>
      </c>
      <c r="D941" s="29">
        <f>Tailordata[[#This Row],[DueDate]]-Tailordata[[#This Row],[Date]]</f>
        <v>148</v>
      </c>
      <c r="E941" t="s">
        <v>33</v>
      </c>
      <c r="F941" t="s">
        <v>23</v>
      </c>
      <c r="G941">
        <v>257</v>
      </c>
      <c r="H941" t="s">
        <v>28</v>
      </c>
      <c r="I941">
        <v>18</v>
      </c>
      <c r="J941">
        <v>45</v>
      </c>
      <c r="K941">
        <v>18</v>
      </c>
      <c r="L941">
        <v>16</v>
      </c>
      <c r="M941">
        <v>14</v>
      </c>
      <c r="N941">
        <v>46</v>
      </c>
      <c r="O941">
        <v>19</v>
      </c>
      <c r="Q941">
        <v>19</v>
      </c>
      <c r="R941">
        <v>21</v>
      </c>
    </row>
    <row r="942" spans="1:23">
      <c r="A942">
        <v>941</v>
      </c>
      <c r="B942" s="1">
        <v>45354</v>
      </c>
      <c r="C942" s="1">
        <v>45416</v>
      </c>
      <c r="D942" s="29">
        <f>Tailordata[[#This Row],[DueDate]]-Tailordata[[#This Row],[Date]]</f>
        <v>62</v>
      </c>
      <c r="E942" t="s">
        <v>27</v>
      </c>
      <c r="F942" t="s">
        <v>36</v>
      </c>
      <c r="G942">
        <v>466</v>
      </c>
      <c r="H942" t="s">
        <v>34</v>
      </c>
      <c r="I942">
        <v>19</v>
      </c>
      <c r="J942">
        <v>42</v>
      </c>
      <c r="K942">
        <v>16</v>
      </c>
      <c r="L942">
        <v>15</v>
      </c>
      <c r="N942">
        <v>30</v>
      </c>
      <c r="O942">
        <v>14</v>
      </c>
      <c r="P942">
        <v>23</v>
      </c>
    </row>
    <row r="943" spans="1:23">
      <c r="A943">
        <v>942</v>
      </c>
      <c r="B943" s="1">
        <v>45329</v>
      </c>
      <c r="C943" s="1">
        <v>45437</v>
      </c>
      <c r="D943" s="29">
        <f>Tailordata[[#This Row],[DueDate]]-Tailordata[[#This Row],[Date]]</f>
        <v>108</v>
      </c>
      <c r="E943" t="s">
        <v>35</v>
      </c>
      <c r="F943" t="s">
        <v>32</v>
      </c>
      <c r="G943">
        <v>181</v>
      </c>
      <c r="H943" t="s">
        <v>28</v>
      </c>
      <c r="O943">
        <v>17</v>
      </c>
      <c r="P943">
        <v>18</v>
      </c>
      <c r="Q943">
        <v>22</v>
      </c>
      <c r="R943">
        <v>20</v>
      </c>
      <c r="U943">
        <v>16</v>
      </c>
      <c r="V943">
        <v>24</v>
      </c>
      <c r="W943">
        <v>17</v>
      </c>
    </row>
    <row r="944" spans="1:23">
      <c r="A944">
        <v>943</v>
      </c>
      <c r="B944" s="1">
        <v>45371</v>
      </c>
      <c r="C944" s="1">
        <v>45416</v>
      </c>
      <c r="D944" s="29">
        <f>Tailordata[[#This Row],[DueDate]]-Tailordata[[#This Row],[Date]]</f>
        <v>45</v>
      </c>
      <c r="E944" t="s">
        <v>29</v>
      </c>
      <c r="F944" t="s">
        <v>23</v>
      </c>
      <c r="G944">
        <v>314</v>
      </c>
      <c r="H944" t="s">
        <v>31</v>
      </c>
      <c r="O944">
        <v>14</v>
      </c>
      <c r="Q944">
        <v>24</v>
      </c>
      <c r="R944">
        <v>16</v>
      </c>
      <c r="S944">
        <v>14</v>
      </c>
      <c r="T944">
        <v>23</v>
      </c>
      <c r="U944">
        <v>23</v>
      </c>
    </row>
    <row r="945" spans="1:23">
      <c r="A945">
        <v>944</v>
      </c>
      <c r="B945" s="1">
        <v>45406</v>
      </c>
      <c r="C945" s="1">
        <v>45434</v>
      </c>
      <c r="D945" s="29">
        <f>Tailordata[[#This Row],[DueDate]]-Tailordata[[#This Row],[Date]]</f>
        <v>28</v>
      </c>
      <c r="E945" t="s">
        <v>33</v>
      </c>
      <c r="F945" t="s">
        <v>23</v>
      </c>
      <c r="G945">
        <v>111</v>
      </c>
      <c r="H945" t="s">
        <v>34</v>
      </c>
      <c r="I945">
        <v>17</v>
      </c>
      <c r="J945">
        <v>25</v>
      </c>
      <c r="K945">
        <v>22</v>
      </c>
      <c r="L945">
        <v>22</v>
      </c>
      <c r="M945">
        <v>14</v>
      </c>
      <c r="N945">
        <v>45</v>
      </c>
      <c r="O945">
        <v>16</v>
      </c>
      <c r="Q945">
        <v>22</v>
      </c>
      <c r="R945">
        <v>24</v>
      </c>
    </row>
    <row r="946" spans="1:23">
      <c r="A946">
        <v>945</v>
      </c>
      <c r="B946" s="1">
        <v>45317</v>
      </c>
      <c r="C946" s="1">
        <v>45425</v>
      </c>
      <c r="D946" s="29">
        <f>Tailordata[[#This Row],[DueDate]]-Tailordata[[#This Row],[Date]]</f>
        <v>108</v>
      </c>
      <c r="E946" t="s">
        <v>29</v>
      </c>
      <c r="F946" t="s">
        <v>32</v>
      </c>
      <c r="G946">
        <v>53</v>
      </c>
      <c r="H946" t="s">
        <v>31</v>
      </c>
      <c r="O946">
        <v>17</v>
      </c>
      <c r="Q946">
        <v>18</v>
      </c>
      <c r="R946">
        <v>24</v>
      </c>
      <c r="S946">
        <v>19</v>
      </c>
      <c r="T946">
        <v>15</v>
      </c>
      <c r="U946">
        <v>23</v>
      </c>
    </row>
    <row r="947" spans="1:23">
      <c r="A947">
        <v>946</v>
      </c>
      <c r="B947" s="1">
        <v>45381</v>
      </c>
      <c r="C947" s="1">
        <v>45415</v>
      </c>
      <c r="D947" s="29">
        <f>Tailordata[[#This Row],[DueDate]]-Tailordata[[#This Row],[Date]]</f>
        <v>34</v>
      </c>
      <c r="E947" t="s">
        <v>33</v>
      </c>
      <c r="F947" t="s">
        <v>36</v>
      </c>
      <c r="G947">
        <v>371</v>
      </c>
      <c r="H947" t="s">
        <v>31</v>
      </c>
      <c r="I947">
        <v>22</v>
      </c>
      <c r="J947">
        <v>24</v>
      </c>
      <c r="K947">
        <v>15</v>
      </c>
      <c r="L947">
        <v>22</v>
      </c>
      <c r="M947">
        <v>17</v>
      </c>
      <c r="N947">
        <v>29</v>
      </c>
      <c r="O947">
        <v>15</v>
      </c>
      <c r="Q947">
        <v>14</v>
      </c>
      <c r="R947">
        <v>18</v>
      </c>
    </row>
    <row r="948" spans="1:23">
      <c r="A948">
        <v>947</v>
      </c>
      <c r="B948" s="1">
        <v>45295</v>
      </c>
      <c r="C948" s="1">
        <v>45435</v>
      </c>
      <c r="D948" s="29">
        <f>Tailordata[[#This Row],[DueDate]]-Tailordata[[#This Row],[Date]]</f>
        <v>140</v>
      </c>
      <c r="E948" t="s">
        <v>33</v>
      </c>
      <c r="F948" t="s">
        <v>23</v>
      </c>
      <c r="G948">
        <v>145</v>
      </c>
      <c r="H948" t="s">
        <v>26</v>
      </c>
      <c r="I948">
        <v>15</v>
      </c>
      <c r="J948">
        <v>31</v>
      </c>
      <c r="K948">
        <v>20</v>
      </c>
      <c r="L948">
        <v>21</v>
      </c>
      <c r="M948">
        <v>19</v>
      </c>
      <c r="N948">
        <v>45</v>
      </c>
      <c r="O948">
        <v>21</v>
      </c>
      <c r="Q948">
        <v>17</v>
      </c>
      <c r="R948">
        <v>22</v>
      </c>
    </row>
    <row r="949" spans="1:23">
      <c r="A949">
        <v>948</v>
      </c>
      <c r="B949" s="1">
        <v>45406</v>
      </c>
      <c r="C949" s="1">
        <v>45425</v>
      </c>
      <c r="D949" s="29">
        <f>Tailordata[[#This Row],[DueDate]]-Tailordata[[#This Row],[Date]]</f>
        <v>19</v>
      </c>
      <c r="E949" t="s">
        <v>35</v>
      </c>
      <c r="F949" t="s">
        <v>32</v>
      </c>
      <c r="G949">
        <v>352</v>
      </c>
      <c r="H949" t="s">
        <v>26</v>
      </c>
      <c r="O949">
        <v>17</v>
      </c>
      <c r="P949">
        <v>21</v>
      </c>
      <c r="Q949">
        <v>24</v>
      </c>
      <c r="R949">
        <v>20</v>
      </c>
      <c r="U949">
        <v>18</v>
      </c>
      <c r="V949">
        <v>23</v>
      </c>
      <c r="W949">
        <v>15</v>
      </c>
    </row>
    <row r="950" spans="1:23">
      <c r="A950">
        <v>949</v>
      </c>
      <c r="B950" s="1">
        <v>45390</v>
      </c>
      <c r="C950" s="1">
        <v>45425</v>
      </c>
      <c r="D950" s="29">
        <f>Tailordata[[#This Row],[DueDate]]-Tailordata[[#This Row],[Date]]</f>
        <v>35</v>
      </c>
      <c r="E950" t="s">
        <v>35</v>
      </c>
      <c r="F950" t="s">
        <v>36</v>
      </c>
      <c r="G950">
        <v>67</v>
      </c>
      <c r="H950" t="s">
        <v>26</v>
      </c>
      <c r="O950">
        <v>16</v>
      </c>
      <c r="P950">
        <v>24</v>
      </c>
      <c r="Q950">
        <v>19</v>
      </c>
      <c r="R950">
        <v>22</v>
      </c>
      <c r="U950">
        <v>17</v>
      </c>
      <c r="V950">
        <v>17</v>
      </c>
      <c r="W950">
        <v>21</v>
      </c>
    </row>
    <row r="951" spans="1:23">
      <c r="A951">
        <v>950</v>
      </c>
      <c r="B951" s="1">
        <v>45398</v>
      </c>
      <c r="C951" s="1">
        <v>45411</v>
      </c>
      <c r="D951" s="29">
        <f>Tailordata[[#This Row],[DueDate]]-Tailordata[[#This Row],[Date]]</f>
        <v>13</v>
      </c>
      <c r="E951" t="s">
        <v>27</v>
      </c>
      <c r="F951" t="s">
        <v>30</v>
      </c>
      <c r="G951">
        <v>177</v>
      </c>
      <c r="H951" t="s">
        <v>34</v>
      </c>
      <c r="I951">
        <v>16</v>
      </c>
      <c r="J951">
        <v>20</v>
      </c>
      <c r="K951">
        <v>23</v>
      </c>
      <c r="L951">
        <v>18</v>
      </c>
      <c r="N951">
        <v>26</v>
      </c>
      <c r="O951">
        <v>21</v>
      </c>
      <c r="P951">
        <v>23</v>
      </c>
    </row>
    <row r="952" spans="1:23">
      <c r="A952">
        <v>951</v>
      </c>
      <c r="B952" s="1">
        <v>45323</v>
      </c>
      <c r="C952" s="1">
        <v>45418</v>
      </c>
      <c r="D952" s="29">
        <f>Tailordata[[#This Row],[DueDate]]-Tailordata[[#This Row],[Date]]</f>
        <v>95</v>
      </c>
      <c r="E952" t="s">
        <v>35</v>
      </c>
      <c r="F952" t="s">
        <v>23</v>
      </c>
      <c r="G952">
        <v>144</v>
      </c>
      <c r="H952" t="s">
        <v>31</v>
      </c>
      <c r="O952">
        <v>21</v>
      </c>
      <c r="P952">
        <v>21</v>
      </c>
      <c r="Q952">
        <v>24</v>
      </c>
      <c r="R952">
        <v>17</v>
      </c>
      <c r="U952">
        <v>18</v>
      </c>
      <c r="V952">
        <v>19</v>
      </c>
      <c r="W952">
        <v>18</v>
      </c>
    </row>
    <row r="953" spans="1:23">
      <c r="A953">
        <v>952</v>
      </c>
      <c r="B953" s="1">
        <v>45322</v>
      </c>
      <c r="C953" s="1">
        <v>45430</v>
      </c>
      <c r="D953" s="29">
        <f>Tailordata[[#This Row],[DueDate]]-Tailordata[[#This Row],[Date]]</f>
        <v>108</v>
      </c>
      <c r="E953" t="s">
        <v>35</v>
      </c>
      <c r="F953" t="s">
        <v>32</v>
      </c>
      <c r="G953">
        <v>140</v>
      </c>
      <c r="H953" t="s">
        <v>28</v>
      </c>
      <c r="O953">
        <v>22</v>
      </c>
      <c r="P953">
        <v>15</v>
      </c>
      <c r="Q953">
        <v>17</v>
      </c>
      <c r="R953">
        <v>17</v>
      </c>
      <c r="U953">
        <v>24</v>
      </c>
      <c r="V953">
        <v>24</v>
      </c>
      <c r="W953">
        <v>15</v>
      </c>
    </row>
    <row r="954" spans="1:23">
      <c r="A954">
        <v>953</v>
      </c>
      <c r="B954" s="1">
        <v>45300</v>
      </c>
      <c r="C954" s="1">
        <v>45424</v>
      </c>
      <c r="D954" s="29">
        <f>Tailordata[[#This Row],[DueDate]]-Tailordata[[#This Row],[Date]]</f>
        <v>124</v>
      </c>
      <c r="E954" t="s">
        <v>29</v>
      </c>
      <c r="F954" t="s">
        <v>23</v>
      </c>
      <c r="G954">
        <v>229</v>
      </c>
      <c r="H954" t="s">
        <v>31</v>
      </c>
      <c r="O954">
        <v>15</v>
      </c>
      <c r="Q954">
        <v>18</v>
      </c>
      <c r="R954">
        <v>16</v>
      </c>
      <c r="S954">
        <v>23</v>
      </c>
      <c r="T954">
        <v>23</v>
      </c>
      <c r="U954">
        <v>24</v>
      </c>
    </row>
    <row r="955" spans="1:23">
      <c r="A955">
        <v>954</v>
      </c>
      <c r="B955" s="1">
        <v>45315</v>
      </c>
      <c r="C955" s="1">
        <v>45415</v>
      </c>
      <c r="D955" s="29">
        <f>Tailordata[[#This Row],[DueDate]]-Tailordata[[#This Row],[Date]]</f>
        <v>100</v>
      </c>
      <c r="E955" t="s">
        <v>22</v>
      </c>
      <c r="F955" t="s">
        <v>23</v>
      </c>
      <c r="G955">
        <v>410</v>
      </c>
      <c r="H955" t="s">
        <v>34</v>
      </c>
      <c r="I955">
        <v>20</v>
      </c>
      <c r="J955">
        <v>40</v>
      </c>
      <c r="K955">
        <v>21</v>
      </c>
      <c r="L955">
        <v>20</v>
      </c>
      <c r="M955">
        <v>23</v>
      </c>
    </row>
    <row r="956" spans="1:23">
      <c r="A956">
        <v>955</v>
      </c>
      <c r="B956" s="1">
        <v>45315</v>
      </c>
      <c r="C956" s="1">
        <v>45417</v>
      </c>
      <c r="D956" s="29">
        <f>Tailordata[[#This Row],[DueDate]]-Tailordata[[#This Row],[Date]]</f>
        <v>102</v>
      </c>
      <c r="E956" t="s">
        <v>27</v>
      </c>
      <c r="F956" t="s">
        <v>30</v>
      </c>
      <c r="G956">
        <v>138</v>
      </c>
      <c r="H956" t="s">
        <v>31</v>
      </c>
      <c r="I956">
        <v>22</v>
      </c>
      <c r="J956">
        <v>33</v>
      </c>
      <c r="K956">
        <v>16</v>
      </c>
      <c r="L956">
        <v>24</v>
      </c>
      <c r="N956">
        <v>47</v>
      </c>
      <c r="O956">
        <v>20</v>
      </c>
      <c r="P956">
        <v>15</v>
      </c>
    </row>
    <row r="957" spans="1:23">
      <c r="A957">
        <v>956</v>
      </c>
      <c r="B957" s="1">
        <v>45398</v>
      </c>
      <c r="C957" s="1">
        <v>45439</v>
      </c>
      <c r="D957" s="29">
        <f>Tailordata[[#This Row],[DueDate]]-Tailordata[[#This Row],[Date]]</f>
        <v>41</v>
      </c>
      <c r="E957" t="s">
        <v>27</v>
      </c>
      <c r="F957" t="s">
        <v>25</v>
      </c>
      <c r="G957">
        <v>405</v>
      </c>
      <c r="H957" t="s">
        <v>26</v>
      </c>
      <c r="I957">
        <v>16</v>
      </c>
      <c r="J957">
        <v>47</v>
      </c>
      <c r="K957">
        <v>14</v>
      </c>
      <c r="L957">
        <v>14</v>
      </c>
      <c r="N957">
        <v>34</v>
      </c>
      <c r="O957">
        <v>20</v>
      </c>
      <c r="P957">
        <v>17</v>
      </c>
    </row>
    <row r="958" spans="1:23">
      <c r="A958">
        <v>957</v>
      </c>
      <c r="B958" s="1">
        <v>45373</v>
      </c>
      <c r="C958" s="1">
        <v>45426</v>
      </c>
      <c r="D958" s="29">
        <f>Tailordata[[#This Row],[DueDate]]-Tailordata[[#This Row],[Date]]</f>
        <v>53</v>
      </c>
      <c r="E958" t="s">
        <v>29</v>
      </c>
      <c r="F958" t="s">
        <v>23</v>
      </c>
      <c r="G958">
        <v>209</v>
      </c>
      <c r="H958" t="s">
        <v>24</v>
      </c>
      <c r="O958">
        <v>22</v>
      </c>
      <c r="Q958">
        <v>18</v>
      </c>
      <c r="R958">
        <v>23</v>
      </c>
      <c r="S958">
        <v>18</v>
      </c>
      <c r="T958">
        <v>14</v>
      </c>
      <c r="U958">
        <v>17</v>
      </c>
    </row>
    <row r="959" spans="1:23">
      <c r="A959">
        <v>958</v>
      </c>
      <c r="B959" s="1">
        <v>45374</v>
      </c>
      <c r="C959" s="1">
        <v>45433</v>
      </c>
      <c r="D959" s="29">
        <f>Tailordata[[#This Row],[DueDate]]-Tailordata[[#This Row],[Date]]</f>
        <v>59</v>
      </c>
      <c r="E959" t="s">
        <v>33</v>
      </c>
      <c r="F959" t="s">
        <v>32</v>
      </c>
      <c r="G959">
        <v>271</v>
      </c>
      <c r="H959" t="s">
        <v>34</v>
      </c>
      <c r="I959">
        <v>18</v>
      </c>
      <c r="J959">
        <v>39</v>
      </c>
      <c r="K959">
        <v>15</v>
      </c>
      <c r="L959">
        <v>19</v>
      </c>
      <c r="M959">
        <v>19</v>
      </c>
      <c r="N959">
        <v>26</v>
      </c>
      <c r="O959">
        <v>16</v>
      </c>
      <c r="Q959">
        <v>22</v>
      </c>
      <c r="R959">
        <v>18</v>
      </c>
    </row>
    <row r="960" spans="1:23">
      <c r="A960">
        <v>959</v>
      </c>
      <c r="B960" s="1">
        <v>45297</v>
      </c>
      <c r="C960" s="1">
        <v>45417</v>
      </c>
      <c r="D960" s="29">
        <f>Tailordata[[#This Row],[DueDate]]-Tailordata[[#This Row],[Date]]</f>
        <v>120</v>
      </c>
      <c r="E960" t="s">
        <v>29</v>
      </c>
      <c r="F960" t="s">
        <v>32</v>
      </c>
      <c r="G960">
        <v>309</v>
      </c>
      <c r="H960" t="s">
        <v>31</v>
      </c>
      <c r="O960">
        <v>16</v>
      </c>
      <c r="Q960">
        <v>20</v>
      </c>
      <c r="R960">
        <v>21</v>
      </c>
      <c r="S960">
        <v>14</v>
      </c>
      <c r="T960">
        <v>24</v>
      </c>
      <c r="U960">
        <v>23</v>
      </c>
    </row>
    <row r="961" spans="1:23">
      <c r="A961">
        <v>960</v>
      </c>
      <c r="B961" s="1">
        <v>45295</v>
      </c>
      <c r="C961" s="1">
        <v>45427</v>
      </c>
      <c r="D961" s="29">
        <f>Tailordata[[#This Row],[DueDate]]-Tailordata[[#This Row],[Date]]</f>
        <v>132</v>
      </c>
      <c r="E961" t="s">
        <v>27</v>
      </c>
      <c r="F961" t="s">
        <v>32</v>
      </c>
      <c r="G961">
        <v>430</v>
      </c>
      <c r="H961" t="s">
        <v>26</v>
      </c>
      <c r="I961">
        <v>16</v>
      </c>
      <c r="J961">
        <v>40</v>
      </c>
      <c r="K961">
        <v>21</v>
      </c>
      <c r="L961">
        <v>16</v>
      </c>
      <c r="N961">
        <v>22</v>
      </c>
      <c r="O961">
        <v>16</v>
      </c>
      <c r="P961">
        <v>22</v>
      </c>
    </row>
    <row r="962" spans="1:23">
      <c r="A962">
        <v>961</v>
      </c>
      <c r="B962" s="1">
        <v>45308</v>
      </c>
      <c r="C962" s="1">
        <v>45439</v>
      </c>
      <c r="D962" s="29">
        <f>Tailordata[[#This Row],[DueDate]]-Tailordata[[#This Row],[Date]]</f>
        <v>131</v>
      </c>
      <c r="E962" t="s">
        <v>29</v>
      </c>
      <c r="F962" t="s">
        <v>32</v>
      </c>
      <c r="G962">
        <v>122</v>
      </c>
      <c r="H962" t="s">
        <v>26</v>
      </c>
      <c r="O962">
        <v>14</v>
      </c>
      <c r="Q962">
        <v>20</v>
      </c>
      <c r="R962">
        <v>20</v>
      </c>
      <c r="S962">
        <v>22</v>
      </c>
      <c r="T962">
        <v>14</v>
      </c>
      <c r="U962">
        <v>16</v>
      </c>
    </row>
    <row r="963" spans="1:23">
      <c r="A963">
        <v>962</v>
      </c>
      <c r="B963" s="1">
        <v>45390</v>
      </c>
      <c r="C963" s="1">
        <v>45420</v>
      </c>
      <c r="D963" s="29">
        <f>Tailordata[[#This Row],[DueDate]]-Tailordata[[#This Row],[Date]]</f>
        <v>30</v>
      </c>
      <c r="E963" t="s">
        <v>33</v>
      </c>
      <c r="F963" t="s">
        <v>23</v>
      </c>
      <c r="G963">
        <v>232</v>
      </c>
      <c r="H963" t="s">
        <v>26</v>
      </c>
      <c r="I963">
        <v>14</v>
      </c>
      <c r="J963">
        <v>31</v>
      </c>
      <c r="K963">
        <v>14</v>
      </c>
      <c r="L963">
        <v>20</v>
      </c>
      <c r="M963">
        <v>19</v>
      </c>
      <c r="N963">
        <v>41</v>
      </c>
      <c r="O963">
        <v>23</v>
      </c>
      <c r="Q963">
        <v>23</v>
      </c>
      <c r="R963">
        <v>14</v>
      </c>
    </row>
    <row r="964" spans="1:23">
      <c r="A964">
        <v>963</v>
      </c>
      <c r="B964" s="1">
        <v>45361</v>
      </c>
      <c r="C964" s="1">
        <v>45425</v>
      </c>
      <c r="D964" s="29">
        <f>Tailordata[[#This Row],[DueDate]]-Tailordata[[#This Row],[Date]]</f>
        <v>64</v>
      </c>
      <c r="E964" t="s">
        <v>33</v>
      </c>
      <c r="F964" t="s">
        <v>25</v>
      </c>
      <c r="G964">
        <v>209</v>
      </c>
      <c r="H964" t="s">
        <v>26</v>
      </c>
      <c r="I964">
        <v>21</v>
      </c>
      <c r="J964">
        <v>25</v>
      </c>
      <c r="K964">
        <v>17</v>
      </c>
      <c r="L964">
        <v>20</v>
      </c>
      <c r="M964">
        <v>23</v>
      </c>
      <c r="N964">
        <v>27</v>
      </c>
      <c r="O964">
        <v>15</v>
      </c>
      <c r="Q964">
        <v>21</v>
      </c>
      <c r="R964">
        <v>24</v>
      </c>
    </row>
    <row r="965" spans="1:23">
      <c r="A965">
        <v>964</v>
      </c>
      <c r="B965" s="1">
        <v>45328</v>
      </c>
      <c r="C965" s="1">
        <v>45415</v>
      </c>
      <c r="D965" s="29">
        <f>Tailordata[[#This Row],[DueDate]]-Tailordata[[#This Row],[Date]]</f>
        <v>87</v>
      </c>
      <c r="E965" t="s">
        <v>29</v>
      </c>
      <c r="F965" t="s">
        <v>23</v>
      </c>
      <c r="G965">
        <v>314</v>
      </c>
      <c r="H965" t="s">
        <v>31</v>
      </c>
      <c r="O965">
        <v>21</v>
      </c>
      <c r="Q965">
        <v>15</v>
      </c>
      <c r="R965">
        <v>20</v>
      </c>
      <c r="S965">
        <v>21</v>
      </c>
      <c r="T965">
        <v>16</v>
      </c>
      <c r="U965">
        <v>18</v>
      </c>
    </row>
    <row r="966" spans="1:23">
      <c r="A966">
        <v>965</v>
      </c>
      <c r="B966" s="1">
        <v>45350</v>
      </c>
      <c r="C966" s="1">
        <v>45421</v>
      </c>
      <c r="D966" s="29">
        <f>Tailordata[[#This Row],[DueDate]]-Tailordata[[#This Row],[Date]]</f>
        <v>71</v>
      </c>
      <c r="E966" t="s">
        <v>22</v>
      </c>
      <c r="F966" t="s">
        <v>25</v>
      </c>
      <c r="G966">
        <v>189</v>
      </c>
      <c r="H966" t="s">
        <v>28</v>
      </c>
      <c r="I966">
        <v>14</v>
      </c>
      <c r="J966">
        <v>26</v>
      </c>
      <c r="K966">
        <v>24</v>
      </c>
      <c r="L966">
        <v>23</v>
      </c>
      <c r="M966">
        <v>21</v>
      </c>
    </row>
    <row r="967" spans="1:23">
      <c r="A967">
        <v>966</v>
      </c>
      <c r="B967" s="1">
        <v>45313</v>
      </c>
      <c r="C967" s="1">
        <v>45433</v>
      </c>
      <c r="D967" s="29">
        <f>Tailordata[[#This Row],[DueDate]]-Tailordata[[#This Row],[Date]]</f>
        <v>120</v>
      </c>
      <c r="E967" t="s">
        <v>27</v>
      </c>
      <c r="F967" t="s">
        <v>36</v>
      </c>
      <c r="G967">
        <v>205</v>
      </c>
      <c r="H967" t="s">
        <v>31</v>
      </c>
      <c r="I967">
        <v>24</v>
      </c>
      <c r="J967">
        <v>35</v>
      </c>
      <c r="K967">
        <v>16</v>
      </c>
      <c r="L967">
        <v>16</v>
      </c>
      <c r="N967">
        <v>28</v>
      </c>
      <c r="O967">
        <v>23</v>
      </c>
      <c r="P967">
        <v>15</v>
      </c>
    </row>
    <row r="968" spans="1:23">
      <c r="A968">
        <v>967</v>
      </c>
      <c r="B968" s="1">
        <v>45369</v>
      </c>
      <c r="C968" s="1">
        <v>45424</v>
      </c>
      <c r="D968" s="29">
        <f>Tailordata[[#This Row],[DueDate]]-Tailordata[[#This Row],[Date]]</f>
        <v>55</v>
      </c>
      <c r="E968" t="s">
        <v>33</v>
      </c>
      <c r="F968" t="s">
        <v>25</v>
      </c>
      <c r="G968">
        <v>204</v>
      </c>
      <c r="H968" t="s">
        <v>24</v>
      </c>
      <c r="I968">
        <v>22</v>
      </c>
      <c r="J968">
        <v>39</v>
      </c>
      <c r="K968">
        <v>15</v>
      </c>
      <c r="L968">
        <v>20</v>
      </c>
      <c r="M968">
        <v>15</v>
      </c>
      <c r="N968">
        <v>44</v>
      </c>
      <c r="O968">
        <v>14</v>
      </c>
      <c r="Q968">
        <v>22</v>
      </c>
      <c r="R968">
        <v>16</v>
      </c>
    </row>
    <row r="969" spans="1:23">
      <c r="A969">
        <v>968</v>
      </c>
      <c r="B969" s="1">
        <v>45368</v>
      </c>
      <c r="C969" s="1">
        <v>45416</v>
      </c>
      <c r="D969" s="29">
        <f>Tailordata[[#This Row],[DueDate]]-Tailordata[[#This Row],[Date]]</f>
        <v>48</v>
      </c>
      <c r="E969" t="s">
        <v>29</v>
      </c>
      <c r="F969" t="s">
        <v>23</v>
      </c>
      <c r="G969">
        <v>407</v>
      </c>
      <c r="H969" t="s">
        <v>31</v>
      </c>
      <c r="O969">
        <v>24</v>
      </c>
      <c r="Q969">
        <v>14</v>
      </c>
      <c r="R969">
        <v>17</v>
      </c>
      <c r="S969">
        <v>23</v>
      </c>
      <c r="T969">
        <v>15</v>
      </c>
      <c r="U969">
        <v>20</v>
      </c>
    </row>
    <row r="970" spans="1:23">
      <c r="A970">
        <v>969</v>
      </c>
      <c r="B970" s="1">
        <v>45382</v>
      </c>
      <c r="C970" s="1">
        <v>45424</v>
      </c>
      <c r="D970" s="29">
        <f>Tailordata[[#This Row],[DueDate]]-Tailordata[[#This Row],[Date]]</f>
        <v>42</v>
      </c>
      <c r="E970" t="s">
        <v>22</v>
      </c>
      <c r="F970" t="s">
        <v>30</v>
      </c>
      <c r="G970">
        <v>242</v>
      </c>
      <c r="H970" t="s">
        <v>24</v>
      </c>
      <c r="I970">
        <v>20</v>
      </c>
      <c r="J970">
        <v>46</v>
      </c>
      <c r="K970">
        <v>15</v>
      </c>
      <c r="L970">
        <v>17</v>
      </c>
      <c r="M970">
        <v>19</v>
      </c>
    </row>
    <row r="971" spans="1:23">
      <c r="A971">
        <v>970</v>
      </c>
      <c r="B971" s="1">
        <v>45339</v>
      </c>
      <c r="C971" s="1">
        <v>45414</v>
      </c>
      <c r="D971" s="29">
        <f>Tailordata[[#This Row],[DueDate]]-Tailordata[[#This Row],[Date]]</f>
        <v>75</v>
      </c>
      <c r="E971" t="s">
        <v>33</v>
      </c>
      <c r="F971" t="s">
        <v>36</v>
      </c>
      <c r="G971">
        <v>74</v>
      </c>
      <c r="H971" t="s">
        <v>34</v>
      </c>
      <c r="I971">
        <v>21</v>
      </c>
      <c r="J971">
        <v>38</v>
      </c>
      <c r="K971">
        <v>20</v>
      </c>
      <c r="L971">
        <v>24</v>
      </c>
      <c r="M971">
        <v>15</v>
      </c>
      <c r="N971">
        <v>49</v>
      </c>
      <c r="O971">
        <v>19</v>
      </c>
      <c r="Q971">
        <v>15</v>
      </c>
      <c r="R971">
        <v>21</v>
      </c>
    </row>
    <row r="972" spans="1:23">
      <c r="A972">
        <v>971</v>
      </c>
      <c r="B972" s="1">
        <v>45404</v>
      </c>
      <c r="C972" s="1">
        <v>45434</v>
      </c>
      <c r="D972" s="29">
        <f>Tailordata[[#This Row],[DueDate]]-Tailordata[[#This Row],[Date]]</f>
        <v>30</v>
      </c>
      <c r="E972" t="s">
        <v>33</v>
      </c>
      <c r="F972" t="s">
        <v>30</v>
      </c>
      <c r="G972">
        <v>241</v>
      </c>
      <c r="H972" t="s">
        <v>26</v>
      </c>
      <c r="I972">
        <v>19</v>
      </c>
      <c r="J972">
        <v>23</v>
      </c>
      <c r="K972">
        <v>20</v>
      </c>
      <c r="L972">
        <v>23</v>
      </c>
      <c r="M972">
        <v>15</v>
      </c>
      <c r="N972">
        <v>50</v>
      </c>
      <c r="O972">
        <v>20</v>
      </c>
      <c r="Q972">
        <v>15</v>
      </c>
      <c r="R972">
        <v>20</v>
      </c>
    </row>
    <row r="973" spans="1:23">
      <c r="A973">
        <v>972</v>
      </c>
      <c r="B973" s="1">
        <v>45370</v>
      </c>
      <c r="C973" s="1">
        <v>45440</v>
      </c>
      <c r="D973" s="29">
        <f>Tailordata[[#This Row],[DueDate]]-Tailordata[[#This Row],[Date]]</f>
        <v>70</v>
      </c>
      <c r="E973" t="s">
        <v>35</v>
      </c>
      <c r="F973" t="s">
        <v>32</v>
      </c>
      <c r="G973">
        <v>244</v>
      </c>
      <c r="H973" t="s">
        <v>24</v>
      </c>
      <c r="O973">
        <v>20</v>
      </c>
      <c r="P973">
        <v>20</v>
      </c>
      <c r="Q973">
        <v>24</v>
      </c>
      <c r="R973">
        <v>17</v>
      </c>
      <c r="U973">
        <v>22</v>
      </c>
      <c r="V973">
        <v>19</v>
      </c>
      <c r="W973">
        <v>23</v>
      </c>
    </row>
    <row r="974" spans="1:23">
      <c r="A974">
        <v>973</v>
      </c>
      <c r="B974" s="1">
        <v>45349</v>
      </c>
      <c r="C974" s="1">
        <v>45428</v>
      </c>
      <c r="D974" s="29">
        <f>Tailordata[[#This Row],[DueDate]]-Tailordata[[#This Row],[Date]]</f>
        <v>79</v>
      </c>
      <c r="E974" t="s">
        <v>35</v>
      </c>
      <c r="F974" t="s">
        <v>23</v>
      </c>
      <c r="G974">
        <v>100</v>
      </c>
      <c r="H974" t="s">
        <v>34</v>
      </c>
      <c r="O974">
        <v>20</v>
      </c>
      <c r="P974">
        <v>21</v>
      </c>
      <c r="Q974">
        <v>14</v>
      </c>
      <c r="R974">
        <v>23</v>
      </c>
      <c r="U974">
        <v>17</v>
      </c>
      <c r="V974">
        <v>22</v>
      </c>
      <c r="W974">
        <v>16</v>
      </c>
    </row>
    <row r="975" spans="1:23">
      <c r="A975">
        <v>974</v>
      </c>
      <c r="B975" s="1">
        <v>45345</v>
      </c>
      <c r="C975" s="1">
        <v>45422</v>
      </c>
      <c r="D975" s="29">
        <f>Tailordata[[#This Row],[DueDate]]-Tailordata[[#This Row],[Date]]</f>
        <v>77</v>
      </c>
      <c r="E975" t="s">
        <v>27</v>
      </c>
      <c r="F975" t="s">
        <v>30</v>
      </c>
      <c r="G975">
        <v>78</v>
      </c>
      <c r="H975" t="s">
        <v>31</v>
      </c>
      <c r="I975">
        <v>17</v>
      </c>
      <c r="J975">
        <v>25</v>
      </c>
      <c r="K975">
        <v>14</v>
      </c>
      <c r="L975">
        <v>18</v>
      </c>
      <c r="N975">
        <v>24</v>
      </c>
      <c r="O975">
        <v>22</v>
      </c>
      <c r="P975">
        <v>21</v>
      </c>
    </row>
    <row r="976" spans="1:23">
      <c r="A976">
        <v>975</v>
      </c>
      <c r="B976" s="1">
        <v>45409</v>
      </c>
      <c r="C976" s="1">
        <v>45419</v>
      </c>
      <c r="D976" s="29">
        <f>Tailordata[[#This Row],[DueDate]]-Tailordata[[#This Row],[Date]]</f>
        <v>10</v>
      </c>
      <c r="E976" t="s">
        <v>27</v>
      </c>
      <c r="F976" t="s">
        <v>30</v>
      </c>
      <c r="G976">
        <v>404</v>
      </c>
      <c r="H976" t="s">
        <v>26</v>
      </c>
      <c r="I976">
        <v>18</v>
      </c>
      <c r="J976">
        <v>39</v>
      </c>
      <c r="K976">
        <v>17</v>
      </c>
      <c r="L976">
        <v>22</v>
      </c>
      <c r="N976">
        <v>47</v>
      </c>
      <c r="O976">
        <v>24</v>
      </c>
      <c r="P976">
        <v>17</v>
      </c>
    </row>
    <row r="977" spans="1:23">
      <c r="A977">
        <v>976</v>
      </c>
      <c r="B977" s="1">
        <v>45355</v>
      </c>
      <c r="C977" s="1">
        <v>45421</v>
      </c>
      <c r="D977" s="29">
        <f>Tailordata[[#This Row],[DueDate]]-Tailordata[[#This Row],[Date]]</f>
        <v>66</v>
      </c>
      <c r="E977" t="s">
        <v>22</v>
      </c>
      <c r="F977" t="s">
        <v>32</v>
      </c>
      <c r="G977">
        <v>484</v>
      </c>
      <c r="H977" t="s">
        <v>26</v>
      </c>
      <c r="I977">
        <v>22</v>
      </c>
      <c r="J977">
        <v>38</v>
      </c>
      <c r="K977">
        <v>20</v>
      </c>
      <c r="L977">
        <v>22</v>
      </c>
      <c r="M977">
        <v>18</v>
      </c>
    </row>
    <row r="978" spans="1:23">
      <c r="A978">
        <v>977</v>
      </c>
      <c r="B978" s="1">
        <v>45383</v>
      </c>
      <c r="C978" s="1">
        <v>45419</v>
      </c>
      <c r="D978" s="29">
        <f>Tailordata[[#This Row],[DueDate]]-Tailordata[[#This Row],[Date]]</f>
        <v>36</v>
      </c>
      <c r="E978" t="s">
        <v>29</v>
      </c>
      <c r="F978" t="s">
        <v>23</v>
      </c>
      <c r="G978">
        <v>108</v>
      </c>
      <c r="H978" t="s">
        <v>31</v>
      </c>
      <c r="O978">
        <v>22</v>
      </c>
      <c r="Q978">
        <v>23</v>
      </c>
      <c r="R978">
        <v>20</v>
      </c>
      <c r="S978">
        <v>21</v>
      </c>
      <c r="T978">
        <v>17</v>
      </c>
      <c r="U978">
        <v>21</v>
      </c>
    </row>
    <row r="979" spans="1:23">
      <c r="A979">
        <v>978</v>
      </c>
      <c r="B979" s="1">
        <v>45331</v>
      </c>
      <c r="C979" s="1">
        <v>45440</v>
      </c>
      <c r="D979" s="29">
        <f>Tailordata[[#This Row],[DueDate]]-Tailordata[[#This Row],[Date]]</f>
        <v>109</v>
      </c>
      <c r="E979" t="s">
        <v>27</v>
      </c>
      <c r="F979" t="s">
        <v>25</v>
      </c>
      <c r="G979">
        <v>306</v>
      </c>
      <c r="H979" t="s">
        <v>28</v>
      </c>
      <c r="I979">
        <v>21</v>
      </c>
      <c r="J979">
        <v>35</v>
      </c>
      <c r="K979">
        <v>24</v>
      </c>
      <c r="L979">
        <v>18</v>
      </c>
      <c r="N979">
        <v>24</v>
      </c>
      <c r="O979">
        <v>21</v>
      </c>
      <c r="P979">
        <v>20</v>
      </c>
    </row>
    <row r="980" spans="1:23">
      <c r="A980">
        <v>979</v>
      </c>
      <c r="B980" s="1">
        <v>45319</v>
      </c>
      <c r="C980" s="1">
        <v>45423</v>
      </c>
      <c r="D980" s="29">
        <f>Tailordata[[#This Row],[DueDate]]-Tailordata[[#This Row],[Date]]</f>
        <v>104</v>
      </c>
      <c r="E980" t="s">
        <v>33</v>
      </c>
      <c r="F980" t="s">
        <v>23</v>
      </c>
      <c r="G980">
        <v>343</v>
      </c>
      <c r="H980" t="s">
        <v>26</v>
      </c>
      <c r="I980">
        <v>19</v>
      </c>
      <c r="J980">
        <v>31</v>
      </c>
      <c r="K980">
        <v>19</v>
      </c>
      <c r="L980">
        <v>20</v>
      </c>
      <c r="M980">
        <v>19</v>
      </c>
      <c r="N980">
        <v>50</v>
      </c>
      <c r="O980">
        <v>17</v>
      </c>
      <c r="Q980">
        <v>22</v>
      </c>
      <c r="R980">
        <v>24</v>
      </c>
    </row>
    <row r="981" spans="1:23">
      <c r="A981">
        <v>980</v>
      </c>
      <c r="B981" s="1">
        <v>45299</v>
      </c>
      <c r="C981" s="1">
        <v>45412</v>
      </c>
      <c r="D981" s="29">
        <f>Tailordata[[#This Row],[DueDate]]-Tailordata[[#This Row],[Date]]</f>
        <v>113</v>
      </c>
      <c r="E981" t="s">
        <v>27</v>
      </c>
      <c r="F981" t="s">
        <v>36</v>
      </c>
      <c r="G981">
        <v>450</v>
      </c>
      <c r="H981" t="s">
        <v>26</v>
      </c>
      <c r="I981">
        <v>20</v>
      </c>
      <c r="J981">
        <v>31</v>
      </c>
      <c r="K981">
        <v>24</v>
      </c>
      <c r="L981">
        <v>15</v>
      </c>
      <c r="N981">
        <v>38</v>
      </c>
      <c r="O981">
        <v>14</v>
      </c>
      <c r="P981">
        <v>23</v>
      </c>
    </row>
    <row r="982" spans="1:23">
      <c r="A982">
        <v>981</v>
      </c>
      <c r="B982" s="1">
        <v>45329</v>
      </c>
      <c r="C982" s="1">
        <v>45414</v>
      </c>
      <c r="D982" s="29">
        <f>Tailordata[[#This Row],[DueDate]]-Tailordata[[#This Row],[Date]]</f>
        <v>85</v>
      </c>
      <c r="E982" t="s">
        <v>22</v>
      </c>
      <c r="F982" t="s">
        <v>36</v>
      </c>
      <c r="G982">
        <v>389</v>
      </c>
      <c r="H982" t="s">
        <v>34</v>
      </c>
      <c r="I982">
        <v>21</v>
      </c>
      <c r="J982">
        <v>44</v>
      </c>
      <c r="K982">
        <v>24</v>
      </c>
      <c r="L982">
        <v>18</v>
      </c>
      <c r="M982">
        <v>23</v>
      </c>
    </row>
    <row r="983" spans="1:23">
      <c r="A983">
        <v>982</v>
      </c>
      <c r="B983" s="1">
        <v>45345</v>
      </c>
      <c r="C983" s="1">
        <v>45417</v>
      </c>
      <c r="D983" s="29">
        <f>Tailordata[[#This Row],[DueDate]]-Tailordata[[#This Row],[Date]]</f>
        <v>72</v>
      </c>
      <c r="E983" t="s">
        <v>29</v>
      </c>
      <c r="F983" t="s">
        <v>30</v>
      </c>
      <c r="G983">
        <v>76</v>
      </c>
      <c r="H983" t="s">
        <v>28</v>
      </c>
      <c r="O983">
        <v>18</v>
      </c>
      <c r="Q983">
        <v>21</v>
      </c>
      <c r="R983">
        <v>18</v>
      </c>
      <c r="S983">
        <v>21</v>
      </c>
      <c r="T983">
        <v>17</v>
      </c>
      <c r="U983">
        <v>23</v>
      </c>
    </row>
    <row r="984" spans="1:23">
      <c r="A984">
        <v>983</v>
      </c>
      <c r="B984" s="1">
        <v>45323</v>
      </c>
      <c r="C984" s="1">
        <v>45427</v>
      </c>
      <c r="D984" s="29">
        <f>Tailordata[[#This Row],[DueDate]]-Tailordata[[#This Row],[Date]]</f>
        <v>104</v>
      </c>
      <c r="E984" t="s">
        <v>22</v>
      </c>
      <c r="F984" t="s">
        <v>30</v>
      </c>
      <c r="G984">
        <v>232</v>
      </c>
      <c r="H984" t="s">
        <v>28</v>
      </c>
      <c r="I984">
        <v>22</v>
      </c>
      <c r="J984">
        <v>39</v>
      </c>
      <c r="K984">
        <v>22</v>
      </c>
      <c r="L984">
        <v>19</v>
      </c>
      <c r="M984">
        <v>24</v>
      </c>
    </row>
    <row r="985" spans="1:23">
      <c r="A985">
        <v>984</v>
      </c>
      <c r="B985" s="1">
        <v>45341</v>
      </c>
      <c r="C985" s="1">
        <v>45432</v>
      </c>
      <c r="D985" s="29">
        <f>Tailordata[[#This Row],[DueDate]]-Tailordata[[#This Row],[Date]]</f>
        <v>91</v>
      </c>
      <c r="E985" t="s">
        <v>35</v>
      </c>
      <c r="F985" t="s">
        <v>25</v>
      </c>
      <c r="G985">
        <v>56</v>
      </c>
      <c r="H985" t="s">
        <v>28</v>
      </c>
      <c r="O985">
        <v>24</v>
      </c>
      <c r="P985">
        <v>15</v>
      </c>
      <c r="Q985">
        <v>24</v>
      </c>
      <c r="R985">
        <v>17</v>
      </c>
      <c r="U985">
        <v>23</v>
      </c>
      <c r="V985">
        <v>23</v>
      </c>
      <c r="W985">
        <v>19</v>
      </c>
    </row>
    <row r="986" spans="1:23">
      <c r="A986">
        <v>985</v>
      </c>
      <c r="B986" s="1">
        <v>45374</v>
      </c>
      <c r="C986" s="1">
        <v>45416</v>
      </c>
      <c r="D986" s="29">
        <f>Tailordata[[#This Row],[DueDate]]-Tailordata[[#This Row],[Date]]</f>
        <v>42</v>
      </c>
      <c r="E986" t="s">
        <v>35</v>
      </c>
      <c r="F986" t="s">
        <v>23</v>
      </c>
      <c r="G986">
        <v>207</v>
      </c>
      <c r="H986" t="s">
        <v>34</v>
      </c>
      <c r="O986">
        <v>24</v>
      </c>
      <c r="P986">
        <v>22</v>
      </c>
      <c r="Q986">
        <v>14</v>
      </c>
      <c r="R986">
        <v>20</v>
      </c>
      <c r="U986">
        <v>15</v>
      </c>
      <c r="V986">
        <v>15</v>
      </c>
      <c r="W986">
        <v>23</v>
      </c>
    </row>
    <row r="987" spans="1:23">
      <c r="A987">
        <v>986</v>
      </c>
      <c r="B987" s="1">
        <v>45357</v>
      </c>
      <c r="C987" s="1">
        <v>45420</v>
      </c>
      <c r="D987" s="29">
        <f>Tailordata[[#This Row],[DueDate]]-Tailordata[[#This Row],[Date]]</f>
        <v>63</v>
      </c>
      <c r="E987" t="s">
        <v>33</v>
      </c>
      <c r="F987" t="s">
        <v>36</v>
      </c>
      <c r="G987">
        <v>373</v>
      </c>
      <c r="H987" t="s">
        <v>26</v>
      </c>
      <c r="I987">
        <v>18</v>
      </c>
      <c r="J987">
        <v>31</v>
      </c>
      <c r="K987">
        <v>21</v>
      </c>
      <c r="L987">
        <v>22</v>
      </c>
      <c r="M987">
        <v>17</v>
      </c>
      <c r="N987">
        <v>44</v>
      </c>
      <c r="O987">
        <v>15</v>
      </c>
      <c r="Q987">
        <v>18</v>
      </c>
      <c r="R987">
        <v>15</v>
      </c>
    </row>
    <row r="988" spans="1:23">
      <c r="A988">
        <v>987</v>
      </c>
      <c r="B988" s="1">
        <v>45320</v>
      </c>
      <c r="C988" s="1">
        <v>45435</v>
      </c>
      <c r="D988" s="29">
        <f>Tailordata[[#This Row],[DueDate]]-Tailordata[[#This Row],[Date]]</f>
        <v>115</v>
      </c>
      <c r="E988" t="s">
        <v>29</v>
      </c>
      <c r="F988" t="s">
        <v>25</v>
      </c>
      <c r="G988">
        <v>243</v>
      </c>
      <c r="H988" t="s">
        <v>28</v>
      </c>
      <c r="O988">
        <v>21</v>
      </c>
      <c r="Q988">
        <v>18</v>
      </c>
      <c r="R988">
        <v>22</v>
      </c>
      <c r="S988">
        <v>22</v>
      </c>
      <c r="T988">
        <v>14</v>
      </c>
      <c r="U988">
        <v>21</v>
      </c>
    </row>
    <row r="989" spans="1:23">
      <c r="A989">
        <v>988</v>
      </c>
      <c r="B989" s="1">
        <v>45334</v>
      </c>
      <c r="C989" s="1">
        <v>45422</v>
      </c>
      <c r="D989" s="29">
        <f>Tailordata[[#This Row],[DueDate]]-Tailordata[[#This Row],[Date]]</f>
        <v>88</v>
      </c>
      <c r="E989" t="s">
        <v>27</v>
      </c>
      <c r="F989" t="s">
        <v>32</v>
      </c>
      <c r="G989">
        <v>444</v>
      </c>
      <c r="H989" t="s">
        <v>34</v>
      </c>
      <c r="I989">
        <v>17</v>
      </c>
      <c r="J989">
        <v>50</v>
      </c>
      <c r="K989">
        <v>19</v>
      </c>
      <c r="L989">
        <v>20</v>
      </c>
      <c r="N989">
        <v>50</v>
      </c>
      <c r="O989">
        <v>16</v>
      </c>
      <c r="P989">
        <v>23</v>
      </c>
    </row>
    <row r="990" spans="1:23">
      <c r="A990">
        <v>989</v>
      </c>
      <c r="B990" s="1">
        <v>45296</v>
      </c>
      <c r="C990" s="1">
        <v>45436</v>
      </c>
      <c r="D990" s="29">
        <f>Tailordata[[#This Row],[DueDate]]-Tailordata[[#This Row],[Date]]</f>
        <v>140</v>
      </c>
      <c r="E990" t="s">
        <v>35</v>
      </c>
      <c r="F990" t="s">
        <v>36</v>
      </c>
      <c r="G990">
        <v>473</v>
      </c>
      <c r="H990" t="s">
        <v>34</v>
      </c>
      <c r="O990">
        <v>24</v>
      </c>
      <c r="P990">
        <v>20</v>
      </c>
      <c r="Q990">
        <v>24</v>
      </c>
      <c r="R990">
        <v>16</v>
      </c>
      <c r="U990">
        <v>23</v>
      </c>
      <c r="V990">
        <v>14</v>
      </c>
      <c r="W990">
        <v>15</v>
      </c>
    </row>
    <row r="991" spans="1:23">
      <c r="A991">
        <v>990</v>
      </c>
      <c r="B991" s="1">
        <v>45324</v>
      </c>
      <c r="C991" s="1">
        <v>45419</v>
      </c>
      <c r="D991" s="29">
        <f>Tailordata[[#This Row],[DueDate]]-Tailordata[[#This Row],[Date]]</f>
        <v>95</v>
      </c>
      <c r="E991" t="s">
        <v>27</v>
      </c>
      <c r="F991" t="s">
        <v>23</v>
      </c>
      <c r="G991">
        <v>470</v>
      </c>
      <c r="H991" t="s">
        <v>28</v>
      </c>
      <c r="I991">
        <v>17</v>
      </c>
      <c r="J991">
        <v>43</v>
      </c>
      <c r="K991">
        <v>17</v>
      </c>
      <c r="L991">
        <v>14</v>
      </c>
      <c r="N991">
        <v>46</v>
      </c>
      <c r="O991">
        <v>20</v>
      </c>
      <c r="P991">
        <v>19</v>
      </c>
    </row>
    <row r="992" spans="1:23">
      <c r="A992">
        <v>991</v>
      </c>
      <c r="B992" s="1">
        <v>45394</v>
      </c>
      <c r="C992" s="1">
        <v>45437</v>
      </c>
      <c r="D992" s="29">
        <f>Tailordata[[#This Row],[DueDate]]-Tailordata[[#This Row],[Date]]</f>
        <v>43</v>
      </c>
      <c r="E992" t="s">
        <v>22</v>
      </c>
      <c r="F992" t="s">
        <v>30</v>
      </c>
      <c r="G992">
        <v>139</v>
      </c>
      <c r="H992" t="s">
        <v>26</v>
      </c>
      <c r="I992">
        <v>19</v>
      </c>
      <c r="J992">
        <v>33</v>
      </c>
      <c r="K992">
        <v>17</v>
      </c>
      <c r="L992">
        <v>15</v>
      </c>
      <c r="M992">
        <v>20</v>
      </c>
    </row>
    <row r="993" spans="1:23">
      <c r="A993">
        <v>992</v>
      </c>
      <c r="B993" s="1">
        <v>45349</v>
      </c>
      <c r="C993" s="1">
        <v>45431</v>
      </c>
      <c r="D993" s="29">
        <f>Tailordata[[#This Row],[DueDate]]-Tailordata[[#This Row],[Date]]</f>
        <v>82</v>
      </c>
      <c r="E993" t="s">
        <v>27</v>
      </c>
      <c r="F993" t="s">
        <v>25</v>
      </c>
      <c r="G993">
        <v>141</v>
      </c>
      <c r="H993" t="s">
        <v>31</v>
      </c>
      <c r="I993">
        <v>24</v>
      </c>
      <c r="J993">
        <v>33</v>
      </c>
      <c r="K993">
        <v>20</v>
      </c>
      <c r="L993">
        <v>15</v>
      </c>
      <c r="N993">
        <v>35</v>
      </c>
      <c r="O993">
        <v>17</v>
      </c>
      <c r="P993">
        <v>24</v>
      </c>
    </row>
    <row r="994" spans="1:23">
      <c r="A994">
        <v>993</v>
      </c>
      <c r="B994" s="1">
        <v>45367</v>
      </c>
      <c r="C994" s="1">
        <v>45409</v>
      </c>
      <c r="D994" s="29">
        <f>Tailordata[[#This Row],[DueDate]]-Tailordata[[#This Row],[Date]]</f>
        <v>42</v>
      </c>
      <c r="E994" t="s">
        <v>33</v>
      </c>
      <c r="F994" t="s">
        <v>30</v>
      </c>
      <c r="G994">
        <v>160</v>
      </c>
      <c r="H994" t="s">
        <v>31</v>
      </c>
      <c r="I994">
        <v>16</v>
      </c>
      <c r="J994">
        <v>20</v>
      </c>
      <c r="K994">
        <v>24</v>
      </c>
      <c r="L994">
        <v>24</v>
      </c>
      <c r="M994">
        <v>21</v>
      </c>
      <c r="N994">
        <v>31</v>
      </c>
      <c r="O994">
        <v>18</v>
      </c>
      <c r="Q994">
        <v>17</v>
      </c>
      <c r="R994">
        <v>24</v>
      </c>
    </row>
    <row r="995" spans="1:23">
      <c r="A995">
        <v>994</v>
      </c>
      <c r="B995" s="1">
        <v>45399</v>
      </c>
      <c r="C995" s="1">
        <v>45410</v>
      </c>
      <c r="D995" s="29">
        <f>Tailordata[[#This Row],[DueDate]]-Tailordata[[#This Row],[Date]]</f>
        <v>11</v>
      </c>
      <c r="E995" t="s">
        <v>33</v>
      </c>
      <c r="F995" t="s">
        <v>36</v>
      </c>
      <c r="G995">
        <v>340</v>
      </c>
      <c r="H995" t="s">
        <v>28</v>
      </c>
      <c r="I995">
        <v>21</v>
      </c>
      <c r="J995">
        <v>33</v>
      </c>
      <c r="K995">
        <v>21</v>
      </c>
      <c r="L995">
        <v>23</v>
      </c>
      <c r="M995">
        <v>18</v>
      </c>
      <c r="N995">
        <v>50</v>
      </c>
      <c r="O995">
        <v>17</v>
      </c>
      <c r="Q995">
        <v>15</v>
      </c>
      <c r="R995">
        <v>16</v>
      </c>
    </row>
    <row r="996" spans="1:23">
      <c r="A996">
        <v>995</v>
      </c>
      <c r="B996" s="1">
        <v>45305</v>
      </c>
      <c r="C996" s="1">
        <v>45411</v>
      </c>
      <c r="D996" s="29">
        <f>Tailordata[[#This Row],[DueDate]]-Tailordata[[#This Row],[Date]]</f>
        <v>106</v>
      </c>
      <c r="E996" t="s">
        <v>35</v>
      </c>
      <c r="F996" t="s">
        <v>23</v>
      </c>
      <c r="G996">
        <v>79</v>
      </c>
      <c r="H996" t="s">
        <v>24</v>
      </c>
      <c r="O996">
        <v>17</v>
      </c>
      <c r="P996">
        <v>24</v>
      </c>
      <c r="Q996">
        <v>23</v>
      </c>
      <c r="R996">
        <v>22</v>
      </c>
      <c r="U996">
        <v>16</v>
      </c>
      <c r="V996">
        <v>21</v>
      </c>
      <c r="W996">
        <v>15</v>
      </c>
    </row>
    <row r="997" spans="1:23">
      <c r="A997">
        <v>996</v>
      </c>
      <c r="B997" s="1">
        <v>45392</v>
      </c>
      <c r="C997" s="1">
        <v>45412</v>
      </c>
      <c r="D997" s="29">
        <f>Tailordata[[#This Row],[DueDate]]-Tailordata[[#This Row],[Date]]</f>
        <v>20</v>
      </c>
      <c r="E997" t="s">
        <v>35</v>
      </c>
      <c r="F997" t="s">
        <v>25</v>
      </c>
      <c r="G997">
        <v>429</v>
      </c>
      <c r="H997" t="s">
        <v>34</v>
      </c>
      <c r="O997">
        <v>18</v>
      </c>
      <c r="P997">
        <v>24</v>
      </c>
      <c r="Q997">
        <v>18</v>
      </c>
      <c r="R997">
        <v>23</v>
      </c>
      <c r="U997">
        <v>24</v>
      </c>
      <c r="V997">
        <v>18</v>
      </c>
      <c r="W997">
        <v>14</v>
      </c>
    </row>
    <row r="998" spans="1:23">
      <c r="A998">
        <v>997</v>
      </c>
      <c r="B998" s="1">
        <v>45409</v>
      </c>
      <c r="C998" s="1">
        <v>45413</v>
      </c>
      <c r="D998" s="29">
        <f>Tailordata[[#This Row],[DueDate]]-Tailordata[[#This Row],[Date]]</f>
        <v>4</v>
      </c>
      <c r="E998" t="s">
        <v>22</v>
      </c>
      <c r="F998" t="s">
        <v>25</v>
      </c>
      <c r="G998">
        <v>295</v>
      </c>
      <c r="H998" t="s">
        <v>26</v>
      </c>
      <c r="I998">
        <v>23</v>
      </c>
      <c r="J998">
        <v>21</v>
      </c>
      <c r="K998">
        <v>23</v>
      </c>
      <c r="L998">
        <v>24</v>
      </c>
      <c r="M998">
        <v>24</v>
      </c>
    </row>
    <row r="999" spans="1:23">
      <c r="A999">
        <v>998</v>
      </c>
      <c r="B999" s="1">
        <v>45316</v>
      </c>
      <c r="C999" s="1">
        <v>45414</v>
      </c>
      <c r="D999" s="29">
        <f>Tailordata[[#This Row],[DueDate]]-Tailordata[[#This Row],[Date]]</f>
        <v>98</v>
      </c>
      <c r="E999" t="s">
        <v>27</v>
      </c>
      <c r="F999" t="s">
        <v>36</v>
      </c>
      <c r="G999">
        <v>66</v>
      </c>
      <c r="H999" t="s">
        <v>24</v>
      </c>
      <c r="I999">
        <v>16</v>
      </c>
      <c r="J999">
        <v>43</v>
      </c>
      <c r="K999">
        <v>16</v>
      </c>
      <c r="L999">
        <v>21</v>
      </c>
      <c r="N999">
        <v>34</v>
      </c>
      <c r="O999">
        <v>14</v>
      </c>
      <c r="P999">
        <v>23</v>
      </c>
    </row>
    <row r="1000" spans="1:23">
      <c r="A1000">
        <v>999</v>
      </c>
      <c r="B1000" s="1">
        <v>45337</v>
      </c>
      <c r="C1000" s="1">
        <v>45415</v>
      </c>
      <c r="D1000" s="29">
        <f>Tailordata[[#This Row],[DueDate]]-Tailordata[[#This Row],[Date]]</f>
        <v>78</v>
      </c>
      <c r="E1000" t="s">
        <v>33</v>
      </c>
      <c r="F1000" t="s">
        <v>30</v>
      </c>
      <c r="G1000">
        <v>392</v>
      </c>
      <c r="H1000" t="s">
        <v>31</v>
      </c>
      <c r="I1000">
        <v>19</v>
      </c>
      <c r="J1000">
        <v>34</v>
      </c>
      <c r="K1000">
        <v>14</v>
      </c>
      <c r="L1000">
        <v>23</v>
      </c>
      <c r="M1000">
        <v>18</v>
      </c>
      <c r="N1000">
        <v>23</v>
      </c>
      <c r="O1000">
        <v>18</v>
      </c>
      <c r="Q1000">
        <v>23</v>
      </c>
      <c r="R1000">
        <v>15</v>
      </c>
    </row>
    <row r="1001" spans="1:23">
      <c r="A1001">
        <v>1000</v>
      </c>
      <c r="B1001" s="1">
        <v>45367</v>
      </c>
      <c r="C1001" s="1">
        <v>45416</v>
      </c>
      <c r="D1001" s="29">
        <f>Tailordata[[#This Row],[DueDate]]-Tailordata[[#This Row],[Date]]</f>
        <v>49</v>
      </c>
      <c r="E1001" t="s">
        <v>33</v>
      </c>
      <c r="F1001" t="s">
        <v>36</v>
      </c>
      <c r="G1001">
        <v>357</v>
      </c>
      <c r="H1001" t="s">
        <v>28</v>
      </c>
      <c r="I1001">
        <v>16</v>
      </c>
      <c r="J1001">
        <v>37</v>
      </c>
      <c r="K1001">
        <v>17</v>
      </c>
      <c r="L1001">
        <v>19</v>
      </c>
      <c r="M1001">
        <v>14</v>
      </c>
      <c r="N1001">
        <v>20</v>
      </c>
      <c r="O1001">
        <v>17</v>
      </c>
      <c r="Q1001">
        <v>24</v>
      </c>
      <c r="R1001">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50AF-DB67-426C-83D0-E7F7028074A1}">
  <dimension ref="A3:D185"/>
  <sheetViews>
    <sheetView zoomScale="89" zoomScaleNormal="89" workbookViewId="0">
      <selection activeCell="P123" sqref="P123"/>
    </sheetView>
  </sheetViews>
  <sheetFormatPr defaultRowHeight="14.5"/>
  <cols>
    <col min="2" max="2" width="14.453125" bestFit="1" customWidth="1"/>
    <col min="3" max="3" width="13.08984375" bestFit="1" customWidth="1"/>
    <col min="4" max="4" width="24.1796875" bestFit="1" customWidth="1"/>
  </cols>
  <sheetData>
    <row r="3" spans="1:3">
      <c r="B3" s="2" t="s">
        <v>37</v>
      </c>
      <c r="C3" t="s">
        <v>39</v>
      </c>
    </row>
    <row r="4" spans="1:3">
      <c r="B4" s="3" t="s">
        <v>27</v>
      </c>
      <c r="C4">
        <v>227</v>
      </c>
    </row>
    <row r="5" spans="1:3">
      <c r="B5" s="3" t="s">
        <v>35</v>
      </c>
      <c r="C5">
        <v>198</v>
      </c>
    </row>
    <row r="6" spans="1:3">
      <c r="B6" s="3" t="s">
        <v>33</v>
      </c>
      <c r="C6">
        <v>194</v>
      </c>
    </row>
    <row r="7" spans="1:3">
      <c r="B7" s="3" t="s">
        <v>29</v>
      </c>
      <c r="C7">
        <v>193</v>
      </c>
    </row>
    <row r="8" spans="1:3">
      <c r="B8" s="3" t="s">
        <v>22</v>
      </c>
      <c r="C8">
        <v>188</v>
      </c>
    </row>
    <row r="9" spans="1:3">
      <c r="B9" s="3" t="s">
        <v>38</v>
      </c>
      <c r="C9" s="15">
        <v>1000</v>
      </c>
    </row>
    <row r="11" spans="1:3">
      <c r="C11" s="15">
        <f>C9</f>
        <v>1000</v>
      </c>
    </row>
    <row r="13" spans="1:3">
      <c r="A13" s="2" t="s">
        <v>37</v>
      </c>
      <c r="B13" t="s">
        <v>39</v>
      </c>
    </row>
    <row r="14" spans="1:3">
      <c r="A14" s="3" t="s">
        <v>31</v>
      </c>
      <c r="B14">
        <v>202</v>
      </c>
    </row>
    <row r="15" spans="1:3">
      <c r="A15" s="3" t="s">
        <v>24</v>
      </c>
      <c r="B15">
        <v>207</v>
      </c>
    </row>
    <row r="16" spans="1:3">
      <c r="A16" s="3" t="s">
        <v>26</v>
      </c>
      <c r="B16">
        <v>200</v>
      </c>
    </row>
    <row r="17" spans="1:3">
      <c r="A17" s="3" t="s">
        <v>28</v>
      </c>
      <c r="B17">
        <v>198</v>
      </c>
    </row>
    <row r="18" spans="1:3">
      <c r="A18" s="3" t="s">
        <v>34</v>
      </c>
      <c r="B18">
        <v>193</v>
      </c>
    </row>
    <row r="19" spans="1:3">
      <c r="A19" s="3" t="s">
        <v>38</v>
      </c>
      <c r="B19">
        <v>1000</v>
      </c>
    </row>
    <row r="22" spans="1:3">
      <c r="B22" s="2" t="s">
        <v>37</v>
      </c>
      <c r="C22" t="s">
        <v>40</v>
      </c>
    </row>
    <row r="23" spans="1:3">
      <c r="B23" s="3" t="s">
        <v>27</v>
      </c>
      <c r="C23" s="26">
        <v>61943</v>
      </c>
    </row>
    <row r="24" spans="1:3">
      <c r="B24" s="3" t="s">
        <v>35</v>
      </c>
      <c r="C24" s="26">
        <v>53361</v>
      </c>
    </row>
    <row r="25" spans="1:3">
      <c r="B25" s="3" t="s">
        <v>33</v>
      </c>
      <c r="C25" s="26">
        <v>52603</v>
      </c>
    </row>
    <row r="26" spans="1:3">
      <c r="B26" s="3" t="s">
        <v>29</v>
      </c>
      <c r="C26" s="26">
        <v>52259</v>
      </c>
    </row>
    <row r="27" spans="1:3">
      <c r="B27" s="3" t="s">
        <v>22</v>
      </c>
      <c r="C27" s="26">
        <v>49437</v>
      </c>
    </row>
    <row r="28" spans="1:3">
      <c r="B28" s="3" t="s">
        <v>38</v>
      </c>
      <c r="C28" s="26">
        <v>269603</v>
      </c>
    </row>
    <row r="30" spans="1:3">
      <c r="C30" s="26">
        <f>C28</f>
        <v>269603</v>
      </c>
    </row>
    <row r="38" spans="2:3">
      <c r="B38" s="2" t="s">
        <v>37</v>
      </c>
      <c r="C38" t="s">
        <v>39</v>
      </c>
    </row>
    <row r="39" spans="2:3">
      <c r="B39" s="3" t="s">
        <v>31</v>
      </c>
      <c r="C39" s="32">
        <v>202</v>
      </c>
    </row>
    <row r="40" spans="2:3">
      <c r="B40" s="3" t="s">
        <v>24</v>
      </c>
      <c r="C40" s="32">
        <v>207</v>
      </c>
    </row>
    <row r="41" spans="2:3">
      <c r="B41" s="3" t="s">
        <v>26</v>
      </c>
      <c r="C41" s="32">
        <v>200</v>
      </c>
    </row>
    <row r="42" spans="2:3">
      <c r="B42" s="3" t="s">
        <v>28</v>
      </c>
      <c r="C42" s="32">
        <v>198</v>
      </c>
    </row>
    <row r="43" spans="2:3">
      <c r="B43" s="3" t="s">
        <v>34</v>
      </c>
      <c r="C43" s="32">
        <v>193</v>
      </c>
    </row>
    <row r="44" spans="2:3">
      <c r="B44" s="3" t="s">
        <v>38</v>
      </c>
      <c r="C44" s="32">
        <v>1000</v>
      </c>
    </row>
    <row r="57" spans="2:3">
      <c r="B57" s="2" t="s">
        <v>37</v>
      </c>
      <c r="C57" t="s">
        <v>40</v>
      </c>
    </row>
    <row r="58" spans="2:3">
      <c r="B58" s="3" t="s">
        <v>41</v>
      </c>
      <c r="C58">
        <v>68643</v>
      </c>
    </row>
    <row r="59" spans="2:3">
      <c r="B59" s="3" t="s">
        <v>42</v>
      </c>
      <c r="C59">
        <v>71801</v>
      </c>
    </row>
    <row r="60" spans="2:3">
      <c r="B60" s="3" t="s">
        <v>43</v>
      </c>
      <c r="C60">
        <v>64315</v>
      </c>
    </row>
    <row r="61" spans="2:3">
      <c r="B61" s="3" t="s">
        <v>44</v>
      </c>
      <c r="C61">
        <v>64844</v>
      </c>
    </row>
    <row r="62" spans="2:3">
      <c r="B62" s="3" t="s">
        <v>38</v>
      </c>
      <c r="C62">
        <v>269603</v>
      </c>
    </row>
    <row r="77" spans="2:3">
      <c r="B77" s="2" t="s">
        <v>37</v>
      </c>
      <c r="C77" t="s">
        <v>39</v>
      </c>
    </row>
    <row r="78" spans="2:3">
      <c r="B78" s="3" t="s">
        <v>25</v>
      </c>
      <c r="C78">
        <v>193</v>
      </c>
    </row>
    <row r="79" spans="2:3">
      <c r="B79" s="3" t="s">
        <v>30</v>
      </c>
      <c r="C79">
        <v>176</v>
      </c>
    </row>
    <row r="80" spans="2:3">
      <c r="B80" s="3" t="s">
        <v>23</v>
      </c>
      <c r="C80">
        <v>199</v>
      </c>
    </row>
    <row r="81" spans="2:3">
      <c r="B81" s="3" t="s">
        <v>36</v>
      </c>
      <c r="C81">
        <v>207</v>
      </c>
    </row>
    <row r="82" spans="2:3">
      <c r="B82" s="3" t="s">
        <v>32</v>
      </c>
      <c r="C82">
        <v>225</v>
      </c>
    </row>
    <row r="83" spans="2:3">
      <c r="B83" s="3" t="s">
        <v>38</v>
      </c>
      <c r="C83">
        <v>1000</v>
      </c>
    </row>
    <row r="94" spans="2:3">
      <c r="B94" s="2" t="s">
        <v>37</v>
      </c>
      <c r="C94" t="s">
        <v>46</v>
      </c>
    </row>
    <row r="95" spans="2:3">
      <c r="B95" s="3" t="s">
        <v>35</v>
      </c>
      <c r="C95" s="18">
        <v>269.5</v>
      </c>
    </row>
    <row r="96" spans="2:3">
      <c r="B96" s="3" t="s">
        <v>27</v>
      </c>
      <c r="C96" s="18">
        <v>272.87665198237886</v>
      </c>
    </row>
    <row r="97" spans="2:3">
      <c r="B97" s="3" t="s">
        <v>22</v>
      </c>
      <c r="C97" s="18">
        <v>262.96276595744683</v>
      </c>
    </row>
    <row r="98" spans="2:3">
      <c r="B98" s="3" t="s">
        <v>33</v>
      </c>
      <c r="C98" s="18">
        <v>271.14948453608247</v>
      </c>
    </row>
    <row r="99" spans="2:3">
      <c r="B99" s="3" t="s">
        <v>29</v>
      </c>
      <c r="C99" s="18">
        <v>270.77202072538859</v>
      </c>
    </row>
    <row r="100" spans="2:3">
      <c r="B100" s="3" t="s">
        <v>38</v>
      </c>
      <c r="C100" s="18">
        <v>269.60300000000001</v>
      </c>
    </row>
    <row r="102" spans="2:3">
      <c r="C102" s="28">
        <f>C100</f>
        <v>269.60300000000001</v>
      </c>
    </row>
    <row r="111" spans="2:3">
      <c r="B111" s="2" t="s">
        <v>37</v>
      </c>
      <c r="C111" t="s">
        <v>39</v>
      </c>
    </row>
    <row r="112" spans="2:3">
      <c r="B112" s="3" t="s">
        <v>41</v>
      </c>
      <c r="C112">
        <v>258</v>
      </c>
    </row>
    <row r="113" spans="2:3">
      <c r="B113" s="3" t="s">
        <v>42</v>
      </c>
      <c r="C113">
        <v>263</v>
      </c>
    </row>
    <row r="114" spans="2:3">
      <c r="B114" s="3" t="s">
        <v>43</v>
      </c>
      <c r="C114">
        <v>244</v>
      </c>
    </row>
    <row r="115" spans="2:3">
      <c r="B115" s="3" t="s">
        <v>44</v>
      </c>
      <c r="C115">
        <v>235</v>
      </c>
    </row>
    <row r="116" spans="2:3">
      <c r="B116" s="3" t="s">
        <v>38</v>
      </c>
      <c r="C116">
        <v>1000</v>
      </c>
    </row>
    <row r="130" spans="2:3">
      <c r="B130" s="2" t="s">
        <v>37</v>
      </c>
      <c r="C130" t="s">
        <v>39</v>
      </c>
    </row>
    <row r="131" spans="2:3">
      <c r="B131" s="3" t="s">
        <v>32</v>
      </c>
      <c r="C131">
        <v>225</v>
      </c>
    </row>
    <row r="132" spans="2:3">
      <c r="B132" s="3" t="s">
        <v>36</v>
      </c>
      <c r="C132">
        <v>207</v>
      </c>
    </row>
    <row r="133" spans="2:3">
      <c r="B133" s="3" t="s">
        <v>23</v>
      </c>
      <c r="C133">
        <v>199</v>
      </c>
    </row>
    <row r="134" spans="2:3">
      <c r="B134" s="3" t="s">
        <v>25</v>
      </c>
      <c r="C134">
        <v>193</v>
      </c>
    </row>
    <row r="135" spans="2:3">
      <c r="B135" s="3" t="s">
        <v>30</v>
      </c>
      <c r="C135">
        <v>176</v>
      </c>
    </row>
    <row r="136" spans="2:3">
      <c r="B136" s="3" t="s">
        <v>38</v>
      </c>
      <c r="C136">
        <v>1000</v>
      </c>
    </row>
    <row r="146" spans="3:3">
      <c r="C146" t="s">
        <v>50</v>
      </c>
    </row>
    <row r="147" spans="3:3">
      <c r="C147" s="29">
        <v>75.006</v>
      </c>
    </row>
    <row r="149" spans="3:3">
      <c r="C149" s="29" t="str">
        <f>ROUND(C147,0)&amp; " Days "</f>
        <v xml:space="preserve">75 Days </v>
      </c>
    </row>
    <row r="162" spans="3:4">
      <c r="C162" s="2" t="s">
        <v>37</v>
      </c>
      <c r="D162" t="s">
        <v>45</v>
      </c>
    </row>
    <row r="163" spans="3:4">
      <c r="C163" s="3" t="s">
        <v>25</v>
      </c>
      <c r="D163" s="29">
        <v>261.66839378238342</v>
      </c>
    </row>
    <row r="164" spans="3:4">
      <c r="C164" s="3" t="s">
        <v>30</v>
      </c>
      <c r="D164" s="29">
        <v>261.05113636363637</v>
      </c>
    </row>
    <row r="165" spans="3:4">
      <c r="C165" s="3" t="s">
        <v>23</v>
      </c>
      <c r="D165" s="29">
        <v>274.8291457286432</v>
      </c>
    </row>
    <row r="166" spans="3:4">
      <c r="C166" s="3" t="s">
        <v>36</v>
      </c>
      <c r="D166" s="29">
        <v>282.41062801932367</v>
      </c>
    </row>
    <row r="167" spans="3:4">
      <c r="C167" s="3" t="s">
        <v>32</v>
      </c>
      <c r="D167" s="29">
        <v>266.69333333333333</v>
      </c>
    </row>
    <row r="168" spans="3:4">
      <c r="C168" s="3" t="s">
        <v>38</v>
      </c>
      <c r="D168" s="18">
        <v>269.60300000000001</v>
      </c>
    </row>
    <row r="179" spans="3:4">
      <c r="C179" s="2" t="s">
        <v>37</v>
      </c>
      <c r="D179" t="s">
        <v>49</v>
      </c>
    </row>
    <row r="180" spans="3:4">
      <c r="C180" s="3" t="s">
        <v>35</v>
      </c>
      <c r="D180" s="29">
        <v>74.984848484848484</v>
      </c>
    </row>
    <row r="181" spans="3:4">
      <c r="C181" s="3" t="s">
        <v>27</v>
      </c>
      <c r="D181" s="29">
        <v>74.502202643171813</v>
      </c>
    </row>
    <row r="182" spans="3:4">
      <c r="C182" s="3" t="s">
        <v>22</v>
      </c>
      <c r="D182" s="29">
        <v>75.547872340425528</v>
      </c>
    </row>
    <row r="183" spans="3:4">
      <c r="C183" s="3" t="s">
        <v>33</v>
      </c>
      <c r="D183" s="29">
        <v>74.340206185567013</v>
      </c>
    </row>
    <row r="184" spans="3:4">
      <c r="C184" s="3" t="s">
        <v>29</v>
      </c>
      <c r="D184" s="29">
        <v>75.761658031088089</v>
      </c>
    </row>
    <row r="185" spans="3:4">
      <c r="C185" s="3" t="s">
        <v>38</v>
      </c>
      <c r="D185" s="29">
        <v>75.006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D1D5-590C-490D-A2F6-5346A22A3E15}">
  <dimension ref="A1:CK201"/>
  <sheetViews>
    <sheetView showGridLines="0" tabSelected="1" topLeftCell="I7" zoomScale="31" zoomScaleNormal="22" workbookViewId="0">
      <selection activeCell="CO37" sqref="CO37"/>
    </sheetView>
  </sheetViews>
  <sheetFormatPr defaultRowHeight="14.5"/>
  <cols>
    <col min="8" max="8" width="11.36328125" bestFit="1" customWidth="1"/>
  </cols>
  <sheetData>
    <row r="1" spans="2:72" ht="14.5" customHeight="1">
      <c r="B1" s="31" t="s">
        <v>47</v>
      </c>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row>
    <row r="2" spans="2:72" ht="14.5" customHeight="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row>
    <row r="3" spans="2:72" ht="14.5" customHeight="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row>
    <row r="4" spans="2:72" ht="14.5" customHeight="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row>
    <row r="5" spans="2:72" ht="14.5" customHeight="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row>
    <row r="6" spans="2:72" ht="14.5" customHeight="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row>
    <row r="7" spans="2:72" ht="14.5" customHeight="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row>
    <row r="8" spans="2:72" ht="14.5" customHeight="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row>
    <row r="9" spans="2:72" ht="14.5" customHeight="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row>
    <row r="10" spans="2:72" ht="14.5" customHeight="1">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6"/>
      <c r="AJ10" s="6"/>
      <c r="AK10" s="8"/>
      <c r="AL10" s="8"/>
      <c r="AM10" s="8"/>
      <c r="AN10" s="8"/>
      <c r="AO10" s="8"/>
      <c r="AP10" s="8"/>
      <c r="AQ10" s="8"/>
      <c r="AR10" s="8"/>
      <c r="AS10" s="8"/>
      <c r="AT10" s="8"/>
      <c r="AU10" s="8"/>
      <c r="AV10" s="8"/>
      <c r="AW10" s="8"/>
      <c r="AX10" s="8"/>
      <c r="AY10" s="8"/>
      <c r="AZ10" s="8"/>
      <c r="BA10" s="8"/>
      <c r="BB10" s="8"/>
      <c r="BC10" s="8"/>
      <c r="BD10" s="8"/>
      <c r="BE10" s="8"/>
      <c r="BF10" s="8"/>
      <c r="BG10" s="8"/>
      <c r="BH10" s="8"/>
      <c r="BI10" s="6"/>
      <c r="BJ10" s="6"/>
      <c r="BK10" s="6"/>
      <c r="BL10" s="6"/>
      <c r="BM10" s="6"/>
      <c r="BN10" s="6"/>
      <c r="BO10" s="6"/>
      <c r="BP10" s="6"/>
      <c r="BQ10" s="6"/>
      <c r="BR10" s="6"/>
      <c r="BS10" s="6"/>
      <c r="BT10" s="6"/>
    </row>
    <row r="11" spans="2:72" ht="14.5" customHeight="1">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6"/>
      <c r="AJ11" s="6"/>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6"/>
      <c r="BK11" s="6"/>
      <c r="BL11" s="6"/>
      <c r="BM11" s="6"/>
      <c r="BN11" s="6"/>
      <c r="BO11" s="6"/>
      <c r="BP11" s="6"/>
      <c r="BQ11" s="6"/>
      <c r="BR11" s="6"/>
      <c r="BS11" s="6"/>
      <c r="BT11" s="6"/>
    </row>
    <row r="12" spans="2:72" ht="14.5" customHeight="1">
      <c r="B12" s="5"/>
      <c r="C12" s="5"/>
      <c r="D12" s="19"/>
      <c r="E12" s="19"/>
      <c r="F12" s="19"/>
      <c r="G12" s="19"/>
      <c r="H12" s="19"/>
      <c r="I12" s="19"/>
      <c r="J12" s="19"/>
      <c r="K12" s="9"/>
      <c r="L12" s="19"/>
      <c r="M12" s="19"/>
      <c r="N12" s="19"/>
      <c r="O12" s="19"/>
      <c r="P12" s="19"/>
      <c r="Q12" s="19"/>
      <c r="R12" s="19"/>
      <c r="S12" s="9"/>
      <c r="T12" s="19"/>
      <c r="U12" s="19"/>
      <c r="V12" s="19"/>
      <c r="W12" s="19"/>
      <c r="X12" s="19"/>
      <c r="Y12" s="19"/>
      <c r="Z12" s="19"/>
      <c r="AA12" s="10"/>
      <c r="AB12" s="19"/>
      <c r="AC12" s="19"/>
      <c r="AD12" s="19"/>
      <c r="AE12" s="19"/>
      <c r="AF12" s="19"/>
      <c r="AG12" s="19"/>
      <c r="AH12" s="19"/>
      <c r="AI12" s="10"/>
      <c r="AJ12" s="19"/>
      <c r="AK12" s="25"/>
      <c r="AL12" s="25"/>
      <c r="AM12" s="25"/>
      <c r="AN12" s="25"/>
      <c r="AO12" s="25"/>
      <c r="AP12" s="25"/>
      <c r="AQ12" s="8"/>
      <c r="AR12" s="19"/>
      <c r="AS12" s="25"/>
      <c r="AT12" s="25"/>
      <c r="AU12" s="25"/>
      <c r="AV12" s="25"/>
      <c r="AW12" s="25"/>
      <c r="AX12" s="25"/>
      <c r="AY12" s="8"/>
      <c r="AZ12" s="19"/>
      <c r="BA12" s="25"/>
      <c r="BB12" s="25"/>
      <c r="BC12" s="25"/>
      <c r="BD12" s="25"/>
      <c r="BE12" s="25"/>
      <c r="BF12" s="25"/>
      <c r="BG12" s="8"/>
      <c r="BH12" s="8"/>
      <c r="BI12" s="8"/>
      <c r="BJ12" s="6"/>
      <c r="BK12" s="6"/>
      <c r="BL12" s="6"/>
      <c r="BM12" s="6"/>
      <c r="BN12" s="6"/>
      <c r="BO12" s="6"/>
      <c r="BP12" s="6"/>
      <c r="BQ12" s="6"/>
      <c r="BR12" s="6"/>
      <c r="BS12" s="6"/>
      <c r="BT12" s="6"/>
    </row>
    <row r="13" spans="2:72" ht="14.5" customHeight="1">
      <c r="B13" s="5"/>
      <c r="C13" s="5"/>
      <c r="D13" s="19"/>
      <c r="E13" s="19"/>
      <c r="F13" s="19"/>
      <c r="G13" s="19"/>
      <c r="H13" s="19"/>
      <c r="I13" s="19"/>
      <c r="J13" s="19"/>
      <c r="K13" s="9"/>
      <c r="L13" s="19"/>
      <c r="M13" s="19"/>
      <c r="N13" s="19"/>
      <c r="O13" s="19"/>
      <c r="P13" s="19"/>
      <c r="Q13" s="19"/>
      <c r="R13" s="19"/>
      <c r="S13" s="9"/>
      <c r="T13" s="19"/>
      <c r="U13" s="19"/>
      <c r="V13" s="19"/>
      <c r="W13" s="19"/>
      <c r="X13" s="19"/>
      <c r="Y13" s="19"/>
      <c r="Z13" s="19"/>
      <c r="AA13" s="10"/>
      <c r="AB13" s="19"/>
      <c r="AC13" s="19"/>
      <c r="AD13" s="19"/>
      <c r="AE13" s="19"/>
      <c r="AF13" s="19"/>
      <c r="AG13" s="19"/>
      <c r="AH13" s="19"/>
      <c r="AI13" s="10"/>
      <c r="AJ13" s="25"/>
      <c r="AK13" s="25"/>
      <c r="AL13" s="25"/>
      <c r="AM13" s="25"/>
      <c r="AN13" s="25"/>
      <c r="AO13" s="25"/>
      <c r="AP13" s="25"/>
      <c r="AQ13" s="8"/>
      <c r="AR13" s="25"/>
      <c r="AS13" s="25"/>
      <c r="AT13" s="25"/>
      <c r="AU13" s="25"/>
      <c r="AV13" s="25"/>
      <c r="AW13" s="25"/>
      <c r="AX13" s="25"/>
      <c r="AY13" s="8"/>
      <c r="AZ13" s="25"/>
      <c r="BA13" s="25"/>
      <c r="BB13" s="30"/>
      <c r="BC13" s="30"/>
      <c r="BD13" s="30"/>
      <c r="BE13" s="30"/>
      <c r="BF13" s="30"/>
      <c r="BG13" s="30"/>
      <c r="BH13" s="30"/>
      <c r="BI13" s="6"/>
      <c r="BJ13" s="6"/>
      <c r="BK13" s="6"/>
      <c r="BL13" s="6"/>
      <c r="BM13" s="6"/>
      <c r="BN13" s="6"/>
      <c r="BO13" s="6"/>
      <c r="BP13" s="6"/>
      <c r="BQ13" s="6"/>
      <c r="BR13" s="6"/>
      <c r="BS13" s="6"/>
      <c r="BT13" s="6"/>
    </row>
    <row r="14" spans="2:72" ht="14.5" customHeight="1">
      <c r="B14" s="5"/>
      <c r="C14" s="5"/>
      <c r="D14" s="19"/>
      <c r="E14" s="19"/>
      <c r="F14" s="19"/>
      <c r="G14" s="19"/>
      <c r="H14" s="19"/>
      <c r="I14" s="19"/>
      <c r="J14" s="19"/>
      <c r="K14" s="9"/>
      <c r="L14" s="19"/>
      <c r="M14" s="19"/>
      <c r="N14" s="19"/>
      <c r="O14" s="19"/>
      <c r="P14" s="19"/>
      <c r="Q14" s="19"/>
      <c r="R14" s="19"/>
      <c r="S14" s="9"/>
      <c r="T14" s="19"/>
      <c r="U14" s="19"/>
      <c r="V14" s="19"/>
      <c r="W14" s="19"/>
      <c r="X14" s="19"/>
      <c r="Y14" s="19"/>
      <c r="Z14" s="19"/>
      <c r="AA14" s="10"/>
      <c r="AB14" s="19"/>
      <c r="AC14" s="19"/>
      <c r="AD14" s="19"/>
      <c r="AE14" s="19"/>
      <c r="AF14" s="19"/>
      <c r="AG14" s="19"/>
      <c r="AH14" s="19"/>
      <c r="AI14" s="10"/>
      <c r="AJ14" s="25"/>
      <c r="AK14" s="25"/>
      <c r="AL14" s="25"/>
      <c r="AM14" s="25"/>
      <c r="AN14" s="25"/>
      <c r="AO14" s="25"/>
      <c r="AP14" s="25"/>
      <c r="AQ14" s="8"/>
      <c r="AR14" s="25"/>
      <c r="AS14" s="25"/>
      <c r="AT14" s="25"/>
      <c r="AU14" s="25"/>
      <c r="AV14" s="25"/>
      <c r="AW14" s="25"/>
      <c r="AX14" s="25"/>
      <c r="AY14" s="8"/>
      <c r="AZ14" s="25"/>
      <c r="BA14" s="25"/>
      <c r="BB14" s="25"/>
      <c r="BC14" s="25"/>
      <c r="BD14" s="25"/>
      <c r="BE14" s="25"/>
      <c r="BF14" s="25"/>
      <c r="BG14" s="8"/>
      <c r="BH14" s="8"/>
      <c r="BI14" s="6"/>
      <c r="BJ14" s="6"/>
      <c r="BK14" s="6"/>
      <c r="BL14" s="6"/>
      <c r="BM14" s="6"/>
      <c r="BN14" s="6"/>
      <c r="BO14" s="6"/>
      <c r="BP14" s="6"/>
      <c r="BQ14" s="6"/>
      <c r="BR14" s="6"/>
      <c r="BS14" s="6"/>
      <c r="BT14" s="6"/>
    </row>
    <row r="15" spans="2:72" ht="14.5" customHeight="1">
      <c r="B15" s="11"/>
      <c r="C15" s="11"/>
      <c r="D15" s="20"/>
      <c r="E15" s="20"/>
      <c r="F15" s="20"/>
      <c r="G15" s="20"/>
      <c r="H15" s="20"/>
      <c r="I15" s="20"/>
      <c r="J15" s="20"/>
      <c r="K15" s="12"/>
      <c r="L15" s="21"/>
      <c r="M15" s="21"/>
      <c r="N15" s="21"/>
      <c r="O15" s="21"/>
      <c r="P15" s="21"/>
      <c r="Q15" s="21"/>
      <c r="R15" s="21"/>
      <c r="S15" s="13"/>
      <c r="T15" s="22"/>
      <c r="U15" s="22"/>
      <c r="V15" s="22"/>
      <c r="W15" s="22"/>
      <c r="X15" s="22"/>
      <c r="Y15" s="22"/>
      <c r="Z15" s="22"/>
      <c r="AA15" s="14"/>
      <c r="AB15" s="23"/>
      <c r="AC15" s="23"/>
      <c r="AD15" s="23"/>
      <c r="AE15" s="23"/>
      <c r="AF15" s="23"/>
      <c r="AG15" s="23"/>
      <c r="AH15" s="23"/>
      <c r="AI15" s="14"/>
      <c r="AJ15" s="24"/>
      <c r="AK15" s="24"/>
      <c r="AL15" s="24"/>
      <c r="AM15" s="24"/>
      <c r="AN15" s="24"/>
      <c r="AO15" s="24"/>
      <c r="AP15" s="24"/>
      <c r="AQ15" s="8"/>
      <c r="AR15" s="24"/>
      <c r="AS15" s="24"/>
      <c r="AT15" s="24"/>
      <c r="AU15" s="24"/>
      <c r="AV15" s="24"/>
      <c r="AW15" s="24"/>
      <c r="AX15" s="24"/>
      <c r="AY15" s="8"/>
      <c r="AZ15" s="24"/>
      <c r="BA15" s="24"/>
      <c r="BB15" s="24"/>
      <c r="BC15" s="24"/>
      <c r="BD15" s="24"/>
      <c r="BE15" s="24"/>
      <c r="BF15" s="24"/>
      <c r="BG15" s="8"/>
      <c r="BH15" s="8"/>
      <c r="BI15" s="6"/>
      <c r="BJ15" s="6"/>
      <c r="BK15" s="6"/>
      <c r="BL15" s="6"/>
      <c r="BM15" s="6"/>
      <c r="BN15" s="6"/>
      <c r="BO15" s="6"/>
      <c r="BP15" s="6"/>
      <c r="BQ15" s="6"/>
      <c r="BR15" s="6"/>
      <c r="BS15" s="6"/>
      <c r="BT15" s="6"/>
    </row>
    <row r="16" spans="2:72" ht="14.5" customHeight="1">
      <c r="B16" s="11"/>
      <c r="C16" s="11"/>
      <c r="D16" s="20"/>
      <c r="E16" s="20"/>
      <c r="F16" s="20"/>
      <c r="G16" s="20"/>
      <c r="H16" s="20"/>
      <c r="I16" s="20"/>
      <c r="J16" s="20"/>
      <c r="K16" s="12"/>
      <c r="L16" s="21"/>
      <c r="M16" s="21"/>
      <c r="N16" s="21"/>
      <c r="O16" s="21"/>
      <c r="P16" s="21"/>
      <c r="Q16" s="21"/>
      <c r="R16" s="21"/>
      <c r="S16" s="13"/>
      <c r="T16" s="22"/>
      <c r="U16" s="22"/>
      <c r="V16" s="22"/>
      <c r="W16" s="22"/>
      <c r="X16" s="22"/>
      <c r="Y16" s="22"/>
      <c r="Z16" s="22"/>
      <c r="AA16" s="14"/>
      <c r="AB16" s="23"/>
      <c r="AC16" s="23"/>
      <c r="AD16" s="23"/>
      <c r="AE16" s="23"/>
      <c r="AF16" s="23"/>
      <c r="AG16" s="23"/>
      <c r="AH16" s="23"/>
      <c r="AI16" s="14"/>
      <c r="AJ16" s="24"/>
      <c r="AK16" s="24"/>
      <c r="AL16" s="24"/>
      <c r="AM16" s="24"/>
      <c r="AN16" s="24"/>
      <c r="AO16" s="24"/>
      <c r="AP16" s="24"/>
      <c r="AQ16" s="8"/>
      <c r="AR16" s="24"/>
      <c r="AS16" s="24"/>
      <c r="AT16" s="24"/>
      <c r="AU16" s="24"/>
      <c r="AV16" s="24"/>
      <c r="AW16" s="24"/>
      <c r="AX16" s="24"/>
      <c r="AY16" s="8"/>
      <c r="AZ16" s="24"/>
      <c r="BA16" s="24"/>
      <c r="BB16" s="24"/>
      <c r="BC16" s="24"/>
      <c r="BD16" s="24"/>
      <c r="BE16" s="24"/>
      <c r="BF16" s="24"/>
      <c r="BG16" s="8"/>
      <c r="BH16" s="8"/>
      <c r="BI16" s="6"/>
      <c r="BJ16" s="6"/>
      <c r="BK16" s="6"/>
      <c r="BL16" s="6"/>
      <c r="BM16" s="6"/>
      <c r="BN16" s="6"/>
      <c r="BO16" s="6"/>
      <c r="BP16" s="6"/>
      <c r="BQ16" s="6"/>
      <c r="BR16" s="6"/>
      <c r="BS16" s="6"/>
      <c r="BT16" s="6"/>
    </row>
    <row r="17" spans="2:72" ht="14.5" customHeight="1">
      <c r="B17" s="11"/>
      <c r="C17" s="11"/>
      <c r="D17" s="20"/>
      <c r="E17" s="20"/>
      <c r="F17" s="20"/>
      <c r="G17" s="20"/>
      <c r="H17" s="20"/>
      <c r="I17" s="20"/>
      <c r="J17" s="20"/>
      <c r="K17" s="12"/>
      <c r="L17" s="21"/>
      <c r="M17" s="21"/>
      <c r="N17" s="21"/>
      <c r="O17" s="21"/>
      <c r="P17" s="21"/>
      <c r="Q17" s="21"/>
      <c r="R17" s="21"/>
      <c r="S17" s="13"/>
      <c r="T17" s="22"/>
      <c r="U17" s="22"/>
      <c r="V17" s="22"/>
      <c r="W17" s="22"/>
      <c r="X17" s="22"/>
      <c r="Y17" s="22"/>
      <c r="Z17" s="22"/>
      <c r="AA17" s="14"/>
      <c r="AB17" s="23"/>
      <c r="AC17" s="23"/>
      <c r="AD17" s="23"/>
      <c r="AE17" s="23"/>
      <c r="AF17" s="23"/>
      <c r="AG17" s="23"/>
      <c r="AH17" s="23"/>
      <c r="AI17" s="14"/>
      <c r="AJ17" s="24"/>
      <c r="AK17" s="24"/>
      <c r="AL17" s="24"/>
      <c r="AM17" s="24"/>
      <c r="AN17" s="24"/>
      <c r="AO17" s="24"/>
      <c r="AP17" s="24"/>
      <c r="AQ17" s="8"/>
      <c r="AR17" s="24"/>
      <c r="AS17" s="24"/>
      <c r="AT17" s="24"/>
      <c r="AU17" s="24"/>
      <c r="AV17" s="24"/>
      <c r="AW17" s="24"/>
      <c r="AX17" s="24"/>
      <c r="AY17" s="8"/>
      <c r="AZ17" s="24"/>
      <c r="BA17" s="24"/>
      <c r="BB17" s="24"/>
      <c r="BC17" s="24"/>
      <c r="BD17" s="24"/>
      <c r="BE17" s="24"/>
      <c r="BF17" s="24"/>
      <c r="BG17" s="8"/>
      <c r="BH17" s="8"/>
      <c r="BI17" s="6"/>
      <c r="BJ17" s="6"/>
      <c r="BK17" s="6"/>
      <c r="BL17" s="6"/>
      <c r="BM17" s="6"/>
      <c r="BN17" s="6"/>
      <c r="BO17" s="6"/>
      <c r="BP17" s="6"/>
      <c r="BQ17" s="6"/>
      <c r="BR17" s="6"/>
      <c r="BS17" s="6"/>
      <c r="BT17" s="6"/>
    </row>
    <row r="18" spans="2:72" ht="14.5" customHeight="1">
      <c r="B18" s="11"/>
      <c r="C18" s="11"/>
      <c r="D18" s="20"/>
      <c r="E18" s="20"/>
      <c r="F18" s="20"/>
      <c r="G18" s="20"/>
      <c r="H18" s="20"/>
      <c r="I18" s="20"/>
      <c r="J18" s="20"/>
      <c r="K18" s="12"/>
      <c r="L18" s="21"/>
      <c r="M18" s="21"/>
      <c r="N18" s="21"/>
      <c r="O18" s="21"/>
      <c r="P18" s="21"/>
      <c r="Q18" s="21"/>
      <c r="R18" s="21"/>
      <c r="S18" s="13"/>
      <c r="T18" s="22"/>
      <c r="U18" s="22"/>
      <c r="V18" s="22"/>
      <c r="W18" s="22"/>
      <c r="X18" s="22"/>
      <c r="Y18" s="22"/>
      <c r="Z18" s="22"/>
      <c r="AA18" s="14"/>
      <c r="AB18" s="23"/>
      <c r="AC18" s="23"/>
      <c r="AD18" s="23"/>
      <c r="AE18" s="23"/>
      <c r="AF18" s="23"/>
      <c r="AG18" s="23"/>
      <c r="AH18" s="23"/>
      <c r="AI18" s="14"/>
      <c r="AJ18" s="24"/>
      <c r="AK18" s="24"/>
      <c r="AL18" s="24"/>
      <c r="AM18" s="24"/>
      <c r="AN18" s="24"/>
      <c r="AO18" s="24"/>
      <c r="AP18" s="24"/>
      <c r="AQ18" s="8"/>
      <c r="AR18" s="24"/>
      <c r="AS18" s="24"/>
      <c r="AT18" s="24"/>
      <c r="AU18" s="24"/>
      <c r="AV18" s="24"/>
      <c r="AW18" s="24"/>
      <c r="AX18" s="24"/>
      <c r="AY18" s="8"/>
      <c r="AZ18" s="24"/>
      <c r="BA18" s="24"/>
      <c r="BB18" s="24"/>
      <c r="BC18" s="24"/>
      <c r="BD18" s="24"/>
      <c r="BE18" s="24"/>
      <c r="BF18" s="24"/>
      <c r="BG18" s="8"/>
      <c r="BH18" s="8"/>
      <c r="BI18" s="6"/>
      <c r="BJ18" s="6"/>
      <c r="BK18" s="6"/>
      <c r="BL18" s="6"/>
      <c r="BM18" s="6"/>
      <c r="BN18" s="6"/>
      <c r="BO18" s="6"/>
      <c r="BP18" s="6"/>
      <c r="BQ18" s="6"/>
      <c r="BR18" s="6"/>
      <c r="BS18" s="6"/>
      <c r="BT18" s="6"/>
    </row>
    <row r="19" spans="2:72" ht="14.5" customHeight="1">
      <c r="B19" s="11"/>
      <c r="C19" s="11"/>
      <c r="D19" s="20"/>
      <c r="E19" s="20"/>
      <c r="F19" s="20"/>
      <c r="G19" s="20"/>
      <c r="H19" s="20"/>
      <c r="I19" s="20"/>
      <c r="J19" s="20"/>
      <c r="K19" s="12"/>
      <c r="L19" s="21"/>
      <c r="M19" s="21"/>
      <c r="N19" s="21"/>
      <c r="O19" s="21"/>
      <c r="P19" s="21"/>
      <c r="Q19" s="21"/>
      <c r="R19" s="21"/>
      <c r="S19" s="13"/>
      <c r="T19" s="22"/>
      <c r="U19" s="22"/>
      <c r="V19" s="22"/>
      <c r="W19" s="22"/>
      <c r="X19" s="22"/>
      <c r="Y19" s="22"/>
      <c r="Z19" s="22"/>
      <c r="AA19" s="14"/>
      <c r="AB19" s="23"/>
      <c r="AC19" s="23"/>
      <c r="AD19" s="23"/>
      <c r="AE19" s="23"/>
      <c r="AF19" s="23"/>
      <c r="AG19" s="23"/>
      <c r="AH19" s="23"/>
      <c r="AI19" s="14"/>
      <c r="AJ19" s="24"/>
      <c r="AK19" s="24"/>
      <c r="AL19" s="24"/>
      <c r="AM19" s="24"/>
      <c r="AN19" s="24"/>
      <c r="AO19" s="24"/>
      <c r="AP19" s="24"/>
      <c r="AQ19" s="8"/>
      <c r="AR19" s="24"/>
      <c r="AS19" s="24"/>
      <c r="AT19" s="24"/>
      <c r="AU19" s="24"/>
      <c r="AV19" s="24"/>
      <c r="AW19" s="24"/>
      <c r="AX19" s="24"/>
      <c r="AY19" s="8"/>
      <c r="AZ19" s="24"/>
      <c r="BA19" s="24"/>
      <c r="BB19" s="24"/>
      <c r="BC19" s="24"/>
      <c r="BD19" s="24"/>
      <c r="BE19" s="24"/>
      <c r="BF19" s="24"/>
      <c r="BG19" s="8"/>
      <c r="BH19" s="8"/>
      <c r="BI19" s="6"/>
      <c r="BJ19" s="6"/>
      <c r="BK19" s="6"/>
      <c r="BL19" s="6"/>
      <c r="BM19" s="6"/>
      <c r="BN19" s="6"/>
      <c r="BO19" s="6"/>
      <c r="BP19" s="6"/>
      <c r="BQ19" s="6"/>
      <c r="BR19" s="6"/>
      <c r="BS19" s="6"/>
      <c r="BT19" s="6"/>
    </row>
    <row r="20" spans="2:72" ht="14.5" customHeight="1">
      <c r="B20" s="5"/>
      <c r="C20" s="5"/>
      <c r="D20" s="5"/>
      <c r="E20" s="5"/>
      <c r="F20" s="5"/>
      <c r="G20" s="5"/>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6"/>
      <c r="AJ20" s="6"/>
      <c r="AK20" s="6"/>
      <c r="AL20" s="6"/>
      <c r="AM20" s="6"/>
      <c r="AN20" s="6"/>
      <c r="AO20" s="6"/>
      <c r="AP20" s="6"/>
      <c r="AQ20" s="6"/>
      <c r="AR20" s="6"/>
      <c r="AS20" s="6"/>
      <c r="AT20" s="6"/>
      <c r="AU20" s="6"/>
      <c r="AV20" s="6"/>
      <c r="AW20" s="6"/>
      <c r="AX20" s="6"/>
      <c r="AY20" s="6"/>
      <c r="AZ20" s="16"/>
      <c r="BA20" s="6"/>
      <c r="BB20" s="6"/>
      <c r="BC20" s="6"/>
      <c r="BD20" s="6"/>
      <c r="BE20" s="6"/>
      <c r="BF20" s="6"/>
      <c r="BG20" s="6"/>
      <c r="BH20" s="6"/>
      <c r="BI20" s="6"/>
      <c r="BJ20" s="6"/>
      <c r="BK20" s="6"/>
      <c r="BL20" s="6"/>
      <c r="BM20" s="6"/>
      <c r="BN20" s="6"/>
      <c r="BO20" s="6"/>
      <c r="BP20" s="6"/>
      <c r="BQ20" s="6"/>
      <c r="BR20" s="6"/>
      <c r="BS20" s="6"/>
      <c r="BT20" s="6"/>
    </row>
    <row r="21" spans="2:72" ht="14.5" customHeight="1">
      <c r="B21" s="5"/>
      <c r="C21" s="5"/>
      <c r="D21" s="5"/>
      <c r="E21" s="5"/>
      <c r="F21" s="5"/>
      <c r="G21" s="5"/>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row>
    <row r="22" spans="2:72" ht="14.5" customHeight="1">
      <c r="B22" s="5"/>
      <c r="C22" s="5"/>
      <c r="D22" s="5"/>
      <c r="E22" s="5"/>
      <c r="F22" s="5"/>
      <c r="G22" s="5"/>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row>
    <row r="23" spans="2:72">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row>
    <row r="24" spans="2:72">
      <c r="B24" s="4"/>
      <c r="C24" s="4"/>
      <c r="D24" s="4"/>
      <c r="E24" s="4"/>
      <c r="F24" s="4"/>
      <c r="G24" s="4"/>
      <c r="H24" s="4"/>
      <c r="I24" s="4"/>
      <c r="J24" s="4"/>
      <c r="K24" s="4"/>
      <c r="L24" s="4"/>
      <c r="M24" s="4"/>
      <c r="N24" s="4"/>
      <c r="O24" s="17"/>
      <c r="P24" s="17"/>
      <c r="Q24" s="17"/>
      <c r="R24" s="4"/>
      <c r="S24" s="4"/>
      <c r="T24" s="4"/>
      <c r="U24" s="4"/>
      <c r="V24" s="4"/>
      <c r="W24" s="4"/>
      <c r="X24" s="4"/>
      <c r="Y24" s="4"/>
      <c r="Z24" s="4"/>
      <c r="AA24" s="4"/>
      <c r="AB24" s="4"/>
      <c r="AC24" s="4"/>
      <c r="AD24" s="4"/>
      <c r="AE24" s="4"/>
      <c r="AF24" s="4"/>
      <c r="AG24" s="4"/>
      <c r="AH24" s="4"/>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row>
    <row r="25" spans="2:72">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row>
    <row r="26" spans="2:72">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row>
    <row r="27" spans="2:72">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row>
    <row r="28" spans="2:72">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row>
    <row r="29" spans="2:72">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row>
    <row r="30" spans="2:72">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row>
    <row r="31" spans="2:72">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row>
    <row r="32" spans="2:72">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row>
    <row r="33" spans="2:72">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row>
    <row r="34" spans="2:72">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row>
    <row r="35" spans="2:72">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row>
    <row r="36" spans="2:72">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row>
    <row r="37" spans="2:72">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row>
    <row r="38" spans="2:72">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row>
    <row r="39" spans="2:72">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row>
    <row r="40" spans="2:72">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7"/>
      <c r="AF40" s="4"/>
      <c r="AG40" s="4"/>
      <c r="AH40" s="4"/>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row>
    <row r="41" spans="2:72">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row>
    <row r="42" spans="2:7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row>
    <row r="43" spans="2:72">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row>
    <row r="44" spans="2:72">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row>
    <row r="45" spans="2:72">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row>
    <row r="46" spans="2:72">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row>
    <row r="47" spans="2:72">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row>
    <row r="48" spans="2:72">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row>
    <row r="49" spans="2:72">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row>
    <row r="50" spans="2:72">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row>
    <row r="51" spans="2:72">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row>
    <row r="52" spans="2:7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row>
    <row r="53" spans="2:72">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row>
    <row r="54" spans="2:72">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row>
    <row r="55" spans="2:72">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row>
    <row r="56" spans="2:72">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row>
    <row r="57" spans="2:72">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row>
    <row r="58" spans="2:72">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row>
    <row r="59" spans="2:72">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row>
    <row r="60" spans="2:72">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row>
    <row r="61" spans="2:72">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row>
    <row r="62" spans="2:7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row>
    <row r="63" spans="2:72">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row>
    <row r="64" spans="2:72">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row>
    <row r="65" spans="2:72">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row>
    <row r="66" spans="2:72">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row>
    <row r="67" spans="2:72">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row>
    <row r="68" spans="2:72">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row>
    <row r="69" spans="2:72">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row>
    <row r="70" spans="2:72">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row>
    <row r="71" spans="2:72">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row>
    <row r="72" spans="2: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row>
    <row r="73" spans="2:72">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row>
    <row r="74" spans="2:72">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row>
    <row r="75" spans="2:72">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row>
    <row r="76" spans="2:72">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row>
    <row r="77" spans="2:72">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row>
    <row r="78" spans="2:72">
      <c r="B78" s="6"/>
      <c r="C78" s="6"/>
      <c r="D78" s="6"/>
      <c r="E78" s="6"/>
      <c r="F78" s="6"/>
      <c r="G78" s="6"/>
      <c r="H78" s="6"/>
      <c r="I78" s="6"/>
      <c r="J78" s="6"/>
      <c r="K78" s="6"/>
      <c r="L78" s="6"/>
      <c r="M78" s="6"/>
      <c r="N78" s="6"/>
      <c r="O78" s="17"/>
      <c r="P78" s="17"/>
      <c r="Q78" s="17"/>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row>
    <row r="79" spans="2:72">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row>
    <row r="80" spans="2:72">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row>
    <row r="81" spans="2:72">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row>
    <row r="82" spans="2:72">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row>
    <row r="83" spans="2:72">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row>
    <row r="84" spans="2:72">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row>
    <row r="85" spans="2:72">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row>
    <row r="86" spans="2:72">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row>
    <row r="87" spans="2:72">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row>
    <row r="88" spans="2:72">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row>
    <row r="89" spans="2:72">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row>
    <row r="90" spans="2:72">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row>
    <row r="91" spans="2:72">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row>
    <row r="92" spans="2:72">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row>
    <row r="93" spans="2:72">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row>
    <row r="94" spans="2:72">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row>
    <row r="95" spans="2:72">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row>
    <row r="96" spans="2:72">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row>
    <row r="97" spans="2:72">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row>
    <row r="98" spans="2:72">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row>
    <row r="99" spans="2:72">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row>
    <row r="100" spans="2:72">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spans="2:72">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row>
    <row r="102" spans="2:72">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row>
    <row r="103" spans="2:72">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spans="2:72">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row>
    <row r="105" spans="2:72">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spans="2:72">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spans="2:72">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row>
    <row r="108" spans="2:72">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row>
    <row r="109" spans="2:72">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spans="2:72">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spans="2:72">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spans="2:72">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spans="2:72">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spans="2:72">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row>
    <row r="115" spans="2:72">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spans="2:72">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row>
    <row r="117" spans="2:72">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row>
    <row r="118" spans="2:72">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row>
    <row r="119" spans="2:72">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row>
    <row r="120" spans="2:72">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row>
    <row r="121" spans="2:72">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row>
    <row r="122" spans="2:72">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row>
    <row r="123" spans="2:72">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spans="2:72">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row>
    <row r="125" spans="2:72">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row>
    <row r="126" spans="2:72">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spans="2:72">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spans="2:72">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row>
    <row r="129" spans="2:72">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spans="2:72">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spans="2:72">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row>
    <row r="132" spans="2:72">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spans="2:72">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spans="2:72">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row>
    <row r="135" spans="2:72">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spans="2:72">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row>
    <row r="137" spans="2:72">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spans="2:72">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row>
    <row r="139" spans="2:72">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spans="2:72">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row>
    <row r="141" spans="2:72">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row>
    <row r="142" spans="2:72">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spans="2:72">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row>
    <row r="144" spans="2:72">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spans="2:72">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row>
    <row r="146" spans="2:72">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spans="2:72">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spans="2:72">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row>
    <row r="149" spans="2:72">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row>
    <row r="150" spans="2:72">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row>
    <row r="151" spans="2:72">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row>
    <row r="152" spans="2:72">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row>
    <row r="153" spans="2:72">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row>
    <row r="154" spans="2:72">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row>
    <row r="155" spans="2:72">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row>
    <row r="156" spans="2:72">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row>
    <row r="157" spans="2:72">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row>
    <row r="158" spans="2:72">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row>
    <row r="159" spans="2:72">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row>
    <row r="160" spans="2:72">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row>
    <row r="161" spans="1:89">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row>
    <row r="162" spans="1:89">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row>
    <row r="163" spans="1:89">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row>
    <row r="164" spans="1:89">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row>
    <row r="165" spans="1:89">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row>
    <row r="166" spans="1:89">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row>
    <row r="167" spans="1:89">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row>
    <row r="168" spans="1:89">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row>
    <row r="169" spans="1:89">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row>
    <row r="170" spans="1:89">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c r="BU170" s="27"/>
      <c r="BV170" s="27"/>
      <c r="BW170" s="27"/>
      <c r="BX170" s="27"/>
      <c r="BY170" s="27"/>
      <c r="BZ170" s="27"/>
      <c r="CA170" s="27"/>
      <c r="CB170" s="27"/>
      <c r="CC170" s="27"/>
      <c r="CD170" s="27"/>
      <c r="CE170" s="27"/>
      <c r="CF170" s="27"/>
      <c r="CG170" s="27"/>
      <c r="CH170" s="27"/>
      <c r="CI170" s="27"/>
      <c r="CJ170" s="27"/>
      <c r="CK170" s="27"/>
    </row>
    <row r="171" spans="1:89">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7"/>
      <c r="BR171" s="27"/>
      <c r="BS171" s="27"/>
      <c r="BT171" s="27"/>
      <c r="BU171" s="27"/>
      <c r="BV171" s="27"/>
      <c r="BW171" s="27"/>
      <c r="BX171" s="27"/>
      <c r="BY171" s="27"/>
      <c r="BZ171" s="27"/>
      <c r="CA171" s="27"/>
      <c r="CB171" s="27"/>
      <c r="CC171" s="27"/>
      <c r="CD171" s="27"/>
      <c r="CE171" s="27"/>
      <c r="CF171" s="27"/>
      <c r="CG171" s="27"/>
      <c r="CH171" s="27"/>
      <c r="CI171" s="27"/>
      <c r="CJ171" s="27"/>
      <c r="CK171" s="27"/>
    </row>
    <row r="172" spans="1:89">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7"/>
      <c r="BR172" s="27"/>
      <c r="BS172" s="27"/>
      <c r="BT172" s="27"/>
      <c r="BU172" s="27"/>
      <c r="BV172" s="27"/>
      <c r="BW172" s="27"/>
      <c r="BX172" s="27"/>
      <c r="BY172" s="27"/>
      <c r="BZ172" s="27"/>
      <c r="CA172" s="27"/>
      <c r="CB172" s="27"/>
      <c r="CC172" s="27"/>
      <c r="CD172" s="27"/>
      <c r="CE172" s="27"/>
      <c r="CF172" s="27"/>
      <c r="CG172" s="27"/>
      <c r="CH172" s="27"/>
      <c r="CI172" s="27"/>
      <c r="CJ172" s="27"/>
      <c r="CK172" s="27"/>
    </row>
    <row r="173" spans="1:89">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c r="BV173" s="27"/>
      <c r="BW173" s="27"/>
      <c r="BX173" s="27"/>
      <c r="BY173" s="27"/>
      <c r="BZ173" s="27"/>
      <c r="CA173" s="27"/>
      <c r="CB173" s="27"/>
      <c r="CC173" s="27"/>
      <c r="CD173" s="27"/>
      <c r="CE173" s="27"/>
      <c r="CF173" s="27"/>
      <c r="CG173" s="27"/>
      <c r="CH173" s="27"/>
      <c r="CI173" s="27"/>
      <c r="CJ173" s="27"/>
      <c r="CK173" s="27"/>
    </row>
    <row r="174" spans="1:89">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c r="BU174" s="27"/>
      <c r="BV174" s="27"/>
      <c r="BW174" s="27"/>
      <c r="BX174" s="27"/>
      <c r="BY174" s="27"/>
      <c r="BZ174" s="27"/>
      <c r="CA174" s="27"/>
      <c r="CB174" s="27"/>
      <c r="CC174" s="27"/>
      <c r="CD174" s="27"/>
      <c r="CE174" s="27"/>
      <c r="CF174" s="27"/>
      <c r="CG174" s="27"/>
      <c r="CH174" s="27"/>
      <c r="CI174" s="27"/>
      <c r="CJ174" s="27"/>
      <c r="CK174" s="27"/>
    </row>
    <row r="175" spans="1:89">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c r="BU175" s="27"/>
      <c r="BV175" s="27"/>
      <c r="BW175" s="27"/>
      <c r="BX175" s="27"/>
      <c r="BY175" s="27"/>
      <c r="BZ175" s="27"/>
      <c r="CA175" s="27"/>
      <c r="CB175" s="27"/>
      <c r="CC175" s="27"/>
      <c r="CD175" s="27"/>
      <c r="CE175" s="27"/>
      <c r="CF175" s="27"/>
      <c r="CG175" s="27"/>
      <c r="CH175" s="27"/>
      <c r="CI175" s="27"/>
      <c r="CJ175" s="27"/>
      <c r="CK175" s="27"/>
    </row>
    <row r="176" spans="1:89">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27"/>
      <c r="CH176" s="27"/>
      <c r="CI176" s="27"/>
      <c r="CJ176" s="27"/>
      <c r="CK176" s="27"/>
    </row>
    <row r="177" spans="1:89">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c r="BU177" s="27"/>
      <c r="BV177" s="27"/>
      <c r="BW177" s="27"/>
      <c r="BX177" s="27"/>
      <c r="BY177" s="27"/>
      <c r="BZ177" s="27"/>
      <c r="CA177" s="27"/>
      <c r="CB177" s="27"/>
      <c r="CC177" s="27"/>
      <c r="CD177" s="27"/>
      <c r="CE177" s="27"/>
      <c r="CF177" s="27"/>
      <c r="CG177" s="27"/>
      <c r="CH177" s="27"/>
      <c r="CI177" s="27"/>
      <c r="CJ177" s="27"/>
      <c r="CK177" s="27"/>
    </row>
    <row r="178" spans="1:89">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c r="BU178" s="27"/>
      <c r="BV178" s="27"/>
      <c r="BW178" s="27"/>
      <c r="BX178" s="27"/>
      <c r="BY178" s="27"/>
      <c r="BZ178" s="27"/>
      <c r="CA178" s="27"/>
      <c r="CB178" s="27"/>
      <c r="CC178" s="27"/>
      <c r="CD178" s="27"/>
      <c r="CE178" s="27"/>
      <c r="CF178" s="27"/>
      <c r="CG178" s="27"/>
      <c r="CH178" s="27"/>
      <c r="CI178" s="27"/>
      <c r="CJ178" s="27"/>
      <c r="CK178" s="27"/>
    </row>
    <row r="179" spans="1:8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c r="BU179" s="27"/>
      <c r="BV179" s="27"/>
      <c r="BW179" s="27"/>
      <c r="BX179" s="27"/>
      <c r="BY179" s="27"/>
      <c r="BZ179" s="27"/>
      <c r="CA179" s="27"/>
      <c r="CB179" s="27"/>
      <c r="CC179" s="27"/>
      <c r="CD179" s="27"/>
      <c r="CE179" s="27"/>
      <c r="CF179" s="27"/>
      <c r="CG179" s="27"/>
      <c r="CH179" s="27"/>
      <c r="CI179" s="27"/>
      <c r="CJ179" s="27"/>
      <c r="CK179" s="27"/>
    </row>
    <row r="180" spans="1:89">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c r="BU180" s="27"/>
      <c r="BV180" s="27"/>
      <c r="BW180" s="27"/>
      <c r="BX180" s="27"/>
      <c r="BY180" s="27"/>
      <c r="BZ180" s="27"/>
      <c r="CA180" s="27"/>
      <c r="CB180" s="27"/>
      <c r="CC180" s="27"/>
      <c r="CD180" s="27"/>
      <c r="CE180" s="27"/>
      <c r="CF180" s="27"/>
      <c r="CG180" s="27"/>
      <c r="CH180" s="27"/>
      <c r="CI180" s="27"/>
      <c r="CJ180" s="27"/>
      <c r="CK180" s="27"/>
    </row>
    <row r="181" spans="1:89">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7"/>
      <c r="BR181" s="27"/>
      <c r="BS181" s="27"/>
      <c r="BT181" s="27"/>
      <c r="BU181" s="27"/>
      <c r="BV181" s="27"/>
      <c r="BW181" s="27"/>
      <c r="BX181" s="27"/>
      <c r="BY181" s="27"/>
      <c r="BZ181" s="27"/>
      <c r="CA181" s="27"/>
      <c r="CB181" s="27"/>
      <c r="CC181" s="27"/>
      <c r="CD181" s="27"/>
      <c r="CE181" s="27"/>
      <c r="CF181" s="27"/>
      <c r="CG181" s="27"/>
      <c r="CH181" s="27"/>
      <c r="CI181" s="27"/>
      <c r="CJ181" s="27"/>
      <c r="CK181" s="27"/>
    </row>
    <row r="182" spans="1:89">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c r="BU182" s="27"/>
      <c r="BV182" s="27"/>
      <c r="BW182" s="27"/>
      <c r="BX182" s="27"/>
      <c r="BY182" s="27"/>
      <c r="BZ182" s="27"/>
      <c r="CA182" s="27"/>
      <c r="CB182" s="27"/>
      <c r="CC182" s="27"/>
      <c r="CD182" s="27"/>
      <c r="CE182" s="27"/>
      <c r="CF182" s="27"/>
      <c r="CG182" s="27"/>
      <c r="CH182" s="27"/>
      <c r="CI182" s="27"/>
      <c r="CJ182" s="27"/>
      <c r="CK182" s="27"/>
    </row>
    <row r="183" spans="1:89">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c r="BR183" s="27"/>
      <c r="BS183" s="27"/>
      <c r="BT183" s="27"/>
      <c r="BU183" s="27"/>
      <c r="BV183" s="27"/>
      <c r="BW183" s="27"/>
      <c r="BX183" s="27"/>
      <c r="BY183" s="27"/>
      <c r="BZ183" s="27"/>
      <c r="CA183" s="27"/>
      <c r="CB183" s="27"/>
      <c r="CC183" s="27"/>
      <c r="CD183" s="27"/>
      <c r="CE183" s="27"/>
      <c r="CF183" s="27"/>
      <c r="CG183" s="27"/>
      <c r="CH183" s="27"/>
      <c r="CI183" s="27"/>
      <c r="CJ183" s="27"/>
      <c r="CK183" s="27"/>
    </row>
    <row r="184" spans="1:89">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7"/>
      <c r="BR184" s="27"/>
      <c r="BS184" s="27"/>
      <c r="BT184" s="27"/>
      <c r="BU184" s="27"/>
      <c r="BV184" s="27"/>
      <c r="BW184" s="27"/>
      <c r="BX184" s="27"/>
      <c r="BY184" s="27"/>
      <c r="BZ184" s="27"/>
      <c r="CA184" s="27"/>
      <c r="CB184" s="27"/>
      <c r="CC184" s="27"/>
      <c r="CD184" s="27"/>
      <c r="CE184" s="27"/>
      <c r="CF184" s="27"/>
      <c r="CG184" s="27"/>
      <c r="CH184" s="27"/>
      <c r="CI184" s="27"/>
      <c r="CJ184" s="27"/>
      <c r="CK184" s="27"/>
    </row>
    <row r="185" spans="1:89">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c r="BU185" s="27"/>
      <c r="BV185" s="27"/>
      <c r="BW185" s="27"/>
      <c r="BX185" s="27"/>
      <c r="BY185" s="27"/>
      <c r="BZ185" s="27"/>
      <c r="CA185" s="27"/>
      <c r="CB185" s="27"/>
      <c r="CC185" s="27"/>
      <c r="CD185" s="27"/>
      <c r="CE185" s="27"/>
      <c r="CF185" s="27"/>
      <c r="CG185" s="27"/>
      <c r="CH185" s="27"/>
      <c r="CI185" s="27"/>
      <c r="CJ185" s="27"/>
      <c r="CK185" s="27"/>
    </row>
    <row r="186" spans="1:89">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7"/>
      <c r="BR186" s="27"/>
      <c r="BS186" s="27"/>
      <c r="BT186" s="27"/>
      <c r="BU186" s="27"/>
      <c r="BV186" s="27"/>
      <c r="BW186" s="27"/>
      <c r="BX186" s="27"/>
      <c r="BY186" s="27"/>
      <c r="BZ186" s="27"/>
      <c r="CA186" s="27"/>
      <c r="CB186" s="27"/>
      <c r="CC186" s="27"/>
      <c r="CD186" s="27"/>
      <c r="CE186" s="27"/>
      <c r="CF186" s="27"/>
      <c r="CG186" s="27"/>
      <c r="CH186" s="27"/>
      <c r="CI186" s="27"/>
      <c r="CJ186" s="27"/>
      <c r="CK186" s="27"/>
    </row>
    <row r="187" spans="1:89">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c r="BU187" s="27"/>
      <c r="BV187" s="27"/>
      <c r="BW187" s="27"/>
      <c r="BX187" s="27"/>
      <c r="BY187" s="27"/>
      <c r="BZ187" s="27"/>
      <c r="CA187" s="27"/>
      <c r="CB187" s="27"/>
      <c r="CC187" s="27"/>
      <c r="CD187" s="27"/>
      <c r="CE187" s="27"/>
      <c r="CF187" s="27"/>
      <c r="CG187" s="27"/>
      <c r="CH187" s="27"/>
      <c r="CI187" s="27"/>
      <c r="CJ187" s="27"/>
      <c r="CK187" s="27"/>
    </row>
    <row r="188" spans="1:89">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row>
    <row r="189" spans="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c r="BP189" s="27"/>
      <c r="BQ189" s="27"/>
      <c r="BR189" s="27"/>
      <c r="BS189" s="27"/>
      <c r="BT189" s="27"/>
      <c r="BU189" s="27"/>
      <c r="BV189" s="27"/>
      <c r="BW189" s="27"/>
      <c r="BX189" s="27"/>
      <c r="BY189" s="27"/>
      <c r="BZ189" s="27"/>
      <c r="CA189" s="27"/>
      <c r="CB189" s="27"/>
      <c r="CC189" s="27"/>
      <c r="CD189" s="27"/>
      <c r="CE189" s="27"/>
      <c r="CF189" s="27"/>
      <c r="CG189" s="27"/>
      <c r="CH189" s="27"/>
      <c r="CI189" s="27"/>
      <c r="CJ189" s="27"/>
      <c r="CK189" s="27"/>
    </row>
    <row r="190" spans="1:89">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7"/>
      <c r="BR190" s="27"/>
      <c r="BS190" s="27"/>
      <c r="BT190" s="27"/>
      <c r="BU190" s="27"/>
      <c r="BV190" s="27"/>
      <c r="BW190" s="27"/>
      <c r="BX190" s="27"/>
      <c r="BY190" s="27"/>
      <c r="BZ190" s="27"/>
      <c r="CA190" s="27"/>
      <c r="CB190" s="27"/>
      <c r="CC190" s="27"/>
      <c r="CD190" s="27"/>
      <c r="CE190" s="27"/>
      <c r="CF190" s="27"/>
      <c r="CG190" s="27"/>
      <c r="CH190" s="27"/>
      <c r="CI190" s="27"/>
      <c r="CJ190" s="27"/>
      <c r="CK190" s="27"/>
    </row>
    <row r="191" spans="1:89">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c r="CE191" s="27"/>
      <c r="CF191" s="27"/>
      <c r="CG191" s="27"/>
      <c r="CH191" s="27"/>
      <c r="CI191" s="27"/>
      <c r="CJ191" s="27"/>
      <c r="CK191" s="27"/>
    </row>
    <row r="192" spans="1:89">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row>
    <row r="193" spans="1:89">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7"/>
      <c r="BR193" s="27"/>
      <c r="BS193" s="27"/>
      <c r="BT193" s="27"/>
      <c r="BU193" s="27"/>
      <c r="BV193" s="27"/>
      <c r="BW193" s="27"/>
      <c r="BX193" s="27"/>
      <c r="BY193" s="27"/>
      <c r="BZ193" s="27"/>
      <c r="CA193" s="27"/>
      <c r="CB193" s="27"/>
      <c r="CC193" s="27"/>
      <c r="CD193" s="27"/>
      <c r="CE193" s="27"/>
      <c r="CF193" s="27"/>
      <c r="CG193" s="27"/>
      <c r="CH193" s="27"/>
      <c r="CI193" s="27"/>
      <c r="CJ193" s="27"/>
      <c r="CK193" s="27"/>
    </row>
    <row r="194" spans="1:89">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c r="BU194" s="27"/>
      <c r="BV194" s="27"/>
      <c r="BW194" s="27"/>
      <c r="BX194" s="27"/>
      <c r="BY194" s="27"/>
      <c r="BZ194" s="27"/>
      <c r="CA194" s="27"/>
      <c r="CB194" s="27"/>
      <c r="CC194" s="27"/>
      <c r="CD194" s="27"/>
      <c r="CE194" s="27"/>
      <c r="CF194" s="27"/>
      <c r="CG194" s="27"/>
      <c r="CH194" s="27"/>
      <c r="CI194" s="27"/>
      <c r="CJ194" s="27"/>
      <c r="CK194" s="27"/>
    </row>
    <row r="195" spans="1:89">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row>
    <row r="196" spans="1:89">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row>
    <row r="197" spans="1:89">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row>
    <row r="198" spans="1:89">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row>
    <row r="199" spans="1:8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row>
    <row r="200" spans="1:89">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row>
    <row r="201" spans="1:89">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row>
  </sheetData>
  <mergeCells count="2">
    <mergeCell ref="BB13:BH13"/>
    <mergeCell ref="B1:BT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tailor_shop_data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Nidhin Krishna</dc:creator>
  <cp:lastModifiedBy>Nidhin Krishna</cp:lastModifiedBy>
  <dcterms:created xsi:type="dcterms:W3CDTF">2026-07-04T10:24:56Z</dcterms:created>
  <dcterms:modified xsi:type="dcterms:W3CDTF">2026-07-08T06:34:37Z</dcterms:modified>
</cp:coreProperties>
</file>